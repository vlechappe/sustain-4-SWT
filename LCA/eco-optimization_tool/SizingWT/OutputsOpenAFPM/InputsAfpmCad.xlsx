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 inputs" sheetId="1" r:id="rId4"/>
    <sheet state="visible" name="Feuille 1" sheetId="2" r:id="rId5"/>
    <sheet state="visible" name="Feuille 3" sheetId="3" r:id="rId6"/>
    <sheet state="visible" name="Feuille 4" sheetId="4" r:id="rId7"/>
  </sheets>
  <definedNames/>
  <calcPr/>
  <extLst>
    <ext uri="GoogleSheetsCustomDataVersion2">
      <go:sheetsCustomData xmlns:go="http://customooxmlschemas.google.com/" r:id="rId8" roundtripDataChecksum="z13/NXjlcNErUEjtL+j8Y5i4Ac3T7x+xABJtmpQhjp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">
      <text>
        <t xml:space="preserve">======
ID#AAABpypcmvQ
    (2025-08-25 16:46:45)
Can't find the measure on the blade. Doesn't change anything.
	-La Raphinerie</t>
      </text>
    </comment>
    <comment authorId="0" ref="C19">
      <text>
        <t xml:space="preserve">======
ID#AAABpypcmvU
    (2025-08-25 16:46:45)
70 mm max
	-La Raphinerie</t>
      </text>
    </comment>
    <comment authorId="0" ref="B19">
      <text>
        <t xml:space="preserve">======
ID#AAABpypcmvI
    (2025-08-25 16:46:45)
70 mm max
	-La Raphinerie</t>
      </text>
    </comment>
    <comment authorId="0" ref="D19">
      <text>
        <t xml:space="preserve">======
ID#AAABpypcmvM
    (2025-08-25 16:46:45)
70mm max
	-La Raphinerie</t>
      </text>
    </comment>
  </commentList>
  <extLst>
    <ext uri="GoogleSheetsCustomDataVersion2">
      <go:sheetsCustomData xmlns:go="http://customooxmlschemas.google.com/" r:id="rId1" roundtripDataSignature="AMtx7mgAuQexNT6Ia43TfWdJeRKQAKRVL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ID#AAABpypcmvE
    (2025-08-25 16:46:45)
8 magnets
	-La Raphinerie</t>
      </text>
    </comment>
  </commentList>
  <extLst>
    <ext uri="GoogleSheetsCustomDataVersion2">
      <go:sheetsCustomData xmlns:go="http://customooxmlschemas.google.com/" r:id="rId1" roundtripDataSignature="AMtx7mjvwpHB6GF5tqsQHsWOb8UFErx7x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7">
      <text>
        <t xml:space="preserve">======
ID#AAABpypcmvA
    (2025-08-25 16:46:45)
https://www.supermagnete.fr/data_sheet_Q-46-30-10-N.pdf
	-La Raphinerie</t>
      </text>
    </comment>
  </commentList>
  <extLst>
    <ext uri="GoogleSheetsCustomDataVersion2">
      <go:sheetsCustomData xmlns:go="http://customooxmlschemas.google.com/" r:id="rId1" roundtripDataSignature="AMtx7mj73UbuKFEgGOALOG59uMdxUftSdg=="/>
    </ext>
  </extLst>
</comments>
</file>

<file path=xl/sharedStrings.xml><?xml version="1.0" encoding="utf-8"?>
<sst xmlns="http://schemas.openxmlformats.org/spreadsheetml/2006/main" count="283" uniqueCount="191">
  <si>
    <t>Parameter</t>
  </si>
  <si>
    <t>Values</t>
  </si>
  <si>
    <t>Reference (Tripalium handbook "Construire une éolienne", 2023)</t>
  </si>
  <si>
    <t>1m80</t>
  </si>
  <si>
    <t>2m40</t>
  </si>
  <si>
    <t>3m</t>
  </si>
  <si>
    <t>3m60</t>
  </si>
  <si>
    <t>4m20</t>
  </si>
  <si>
    <t>Furling</t>
  </si>
  <si>
    <t>Vertical Plane Angle</t>
  </si>
  <si>
    <t>p33</t>
  </si>
  <si>
    <t>Horizontal Plane Angle</t>
  </si>
  <si>
    <t>Bracket Length</t>
  </si>
  <si>
    <t>Table 10 p36</t>
  </si>
  <si>
    <t>Bracket Width</t>
  </si>
  <si>
    <t>Table 10 p37</t>
  </si>
  <si>
    <t>Bracket Thickness</t>
  </si>
  <si>
    <t>Table 10 p38</t>
  </si>
  <si>
    <t>Boom Length</t>
  </si>
  <si>
    <t>Table 9 p35</t>
  </si>
  <si>
    <t>Boom Pipe Diameter</t>
  </si>
  <si>
    <t>Boom Pipe Thickness</t>
  </si>
  <si>
    <t>Standard thicness for this diameter (https://www.metals4u.co.uk/materials/mild-steel/mild-steel-tube/59751-p )</t>
  </si>
  <si>
    <t>Vane Thickness</t>
  </si>
  <si>
    <t>Vane Length</t>
  </si>
  <si>
    <t>Vane Width</t>
  </si>
  <si>
    <t>Offset</t>
  </si>
  <si>
    <t>Table 4 p30 Table 6 p32</t>
  </si>
  <si>
    <t>User</t>
  </si>
  <si>
    <t>Blade Width</t>
  </si>
  <si>
    <t>?</t>
  </si>
  <si>
    <t>Hub Pitch Circle Diameter</t>
  </si>
  <si>
    <t>p106</t>
  </si>
  <si>
    <t>Rotor Disk Central Hole Diameter</t>
  </si>
  <si>
    <t>Error</t>
  </si>
  <si>
    <t>-</t>
  </si>
  <si>
    <t>Holes Diameter</t>
  </si>
  <si>
    <t>Table 11 p54</t>
  </si>
  <si>
    <t>Metal Length L</t>
  </si>
  <si>
    <t xml:space="preserve">Table 3 p29 /Table 5 p31 </t>
  </si>
  <si>
    <t>Metal Thickness L</t>
  </si>
  <si>
    <t>Flat Metal Thickness</t>
  </si>
  <si>
    <t>Table 6 p32</t>
  </si>
  <si>
    <t>Yaw Pipe Diameter</t>
  </si>
  <si>
    <t>Pipe Thickness</t>
  </si>
  <si>
    <t>Under Table 9 p35</t>
  </si>
  <si>
    <t>Rotor Resin Margin</t>
  </si>
  <si>
    <t>Under Table 3 p 42</t>
  </si>
  <si>
    <t>Hub Holes Diameter</t>
  </si>
  <si>
    <t>Volume [mm³]</t>
  </si>
  <si>
    <t>Frame</t>
  </si>
  <si>
    <t>Yaw bearing</t>
  </si>
  <si>
    <t>Tail Assembly</t>
  </si>
  <si>
    <t>Vane</t>
  </si>
  <si>
    <t>Metal</t>
  </si>
  <si>
    <t>Plywood</t>
  </si>
  <si>
    <t>Mass [kg]</t>
  </si>
  <si>
    <t>Volumic mass metal [kg/m³]</t>
  </si>
  <si>
    <t>Volumic mass plywood [kg/m³]</t>
  </si>
  <si>
    <t>Current density [A/mm²]</t>
  </si>
  <si>
    <t>Matériau / Composant</t>
  </si>
  <si>
    <t>3m00</t>
  </si>
  <si>
    <t>Masse volumique [kg/m³]</t>
  </si>
  <si>
    <t>(Rotor/Stator)</t>
  </si>
  <si>
    <t>Disques (x2)</t>
  </si>
  <si>
    <t>Diamètre (mm)</t>
  </si>
  <si>
    <t>Acier</t>
  </si>
  <si>
    <t>Épaisseur  (mm)</t>
  </si>
  <si>
    <t>Masse (kg)</t>
  </si>
  <si>
    <t>Aimants 46x30x10 (mm) NdFeB</t>
  </si>
  <si>
    <t>Poids [kg]</t>
  </si>
  <si>
    <t>Poids fil cuivre (kg)</t>
  </si>
  <si>
    <t>Bois (Pales)</t>
  </si>
  <si>
    <t>Largeur minimum bois (mm)</t>
  </si>
  <si>
    <t>Épaisseur minimum bois (mm)</t>
  </si>
  <si>
    <t>Longueur (mm)</t>
  </si>
  <si>
    <t>Volume [m³]</t>
  </si>
  <si>
    <t>Longueur tubes (Pivot/Safran)</t>
  </si>
  <si>
    <t>Diamètre [mm]</t>
  </si>
  <si>
    <t>Surface de contreplaqué (Safran, moules, pales)</t>
  </si>
  <si>
    <t>Epaisseur [mm]</t>
  </si>
  <si>
    <t>Acier (Nacelle)</t>
  </si>
  <si>
    <t>Cornière 50x50x5 (mm)</t>
  </si>
  <si>
    <t>Cornière 30x30x3 (mm)</t>
  </si>
  <si>
    <t>Fer plat 50x8 (mm)</t>
  </si>
  <si>
    <t>150 x 200</t>
  </si>
  <si>
    <t>100 x 900</t>
  </si>
  <si>
    <t>Fer plat ép. 10 mm (mm)</t>
  </si>
  <si>
    <t>Boulonerie inox</t>
  </si>
  <si>
    <t>Tiges filetées</t>
  </si>
  <si>
    <t>M12 x 1500</t>
  </si>
  <si>
    <t>M14 x 2000</t>
  </si>
  <si>
    <t>Nb écrous inox</t>
  </si>
  <si>
    <t>Nb rondelles inox</t>
  </si>
  <si>
    <t>Vis inox</t>
  </si>
  <si>
    <t>Ø 5 x 40 mm</t>
  </si>
  <si>
    <t>Ø 5 x 50 mm</t>
  </si>
  <si>
    <t>Ø 5 x 75 mm</t>
  </si>
  <si>
    <t>Quantité vis inox</t>
  </si>
  <si>
    <t>Boulenire acier zingué</t>
  </si>
  <si>
    <t>Clou 6x60mm</t>
  </si>
  <si>
    <t>Vis fusée</t>
  </si>
  <si>
    <t>M12 x 40 mm</t>
  </si>
  <si>
    <t>M14 x 40 mm</t>
  </si>
  <si>
    <t>Vis safran</t>
  </si>
  <si>
    <t>M6 x 30 mm</t>
  </si>
  <si>
    <t>Vis 5x50 mm</t>
  </si>
  <si>
    <t>1 boîte</t>
  </si>
  <si>
    <t>Vis 5x30 mm</t>
  </si>
  <si>
    <t>Tiges filetées acier</t>
  </si>
  <si>
    <t>M10 x 1000</t>
  </si>
  <si>
    <t>M10 &amp; M12 x 1000</t>
  </si>
  <si>
    <t xml:space="preserve">Écrous </t>
  </si>
  <si>
    <t>10 en M10</t>
  </si>
  <si>
    <t>10 en M10 et 3 en M12</t>
  </si>
  <si>
    <t xml:space="preserve">Rondelles </t>
  </si>
  <si>
    <t>2 en M10</t>
  </si>
  <si>
    <t>Résine (Rotor, stator)</t>
  </si>
  <si>
    <t>Résine polyester (kg)</t>
  </si>
  <si>
    <t>Catalyseur (cc)</t>
  </si>
  <si>
    <t>Talc (g)</t>
  </si>
  <si>
    <t>Fibre de verre (m²)</t>
  </si>
  <si>
    <t>System</t>
  </si>
  <si>
    <t>Sub-system</t>
  </si>
  <si>
    <t>Element</t>
  </si>
  <si>
    <t>Element in french</t>
  </si>
  <si>
    <t>Part</t>
  </si>
  <si>
    <t>Unit</t>
  </si>
  <si>
    <t>Wind generator</t>
  </si>
  <si>
    <t>Propeller</t>
  </si>
  <si>
    <t>Blades</t>
  </si>
  <si>
    <t>Pales</t>
  </si>
  <si>
    <t>Dry soft wood</t>
  </si>
  <si>
    <t>m³</t>
  </si>
  <si>
    <t>Blades attachment</t>
  </si>
  <si>
    <t>FIxation des pales</t>
  </si>
  <si>
    <t>Stator</t>
  </si>
  <si>
    <t>Copper coil</t>
  </si>
  <si>
    <t>Bobine de cuivre</t>
  </si>
  <si>
    <t>Copper, cathod</t>
  </si>
  <si>
    <t>kg</t>
  </si>
  <si>
    <t>Sheet rolling</t>
  </si>
  <si>
    <t>Wire drawing</t>
  </si>
  <si>
    <t>Enamelling</t>
  </si>
  <si>
    <t>m²</t>
  </si>
  <si>
    <t>Resin</t>
  </si>
  <si>
    <t>Résine</t>
  </si>
  <si>
    <t>Polyester resin</t>
  </si>
  <si>
    <t>Talc</t>
  </si>
  <si>
    <t>Glass fibre</t>
  </si>
  <si>
    <t>Rotor</t>
  </si>
  <si>
    <t>Metal disk</t>
  </si>
  <si>
    <t>Disque de métal</t>
  </si>
  <si>
    <t>Steel, low-alloyed</t>
  </si>
  <si>
    <t>Zinc coat</t>
  </si>
  <si>
    <t>Magnet</t>
  </si>
  <si>
    <t>Aimant</t>
  </si>
  <si>
    <t>permanent magnet for motor</t>
  </si>
  <si>
    <t>Hub</t>
  </si>
  <si>
    <t>Rudder</t>
  </si>
  <si>
    <t>Rudder plate</t>
  </si>
  <si>
    <t>Plaque du safran</t>
  </si>
  <si>
    <t>Rudder pipe</t>
  </si>
  <si>
    <t>Tube du safran</t>
  </si>
  <si>
    <t>Steel, unalloyed</t>
  </si>
  <si>
    <t>Drawing of pipe</t>
  </si>
  <si>
    <t>Nacelle</t>
  </si>
  <si>
    <t>Flat iron</t>
  </si>
  <si>
    <t>Fer plat</t>
  </si>
  <si>
    <t>Iron corner</t>
  </si>
  <si>
    <t>Cornière</t>
  </si>
  <si>
    <t>Hardware</t>
  </si>
  <si>
    <t>Stainless steel hardware</t>
  </si>
  <si>
    <t>Boulonnerie inox</t>
  </si>
  <si>
    <t>Stainless steel</t>
  </si>
  <si>
    <t>Average work</t>
  </si>
  <si>
    <t>Zinc coated hardware</t>
  </si>
  <si>
    <t>Boulonnerie acier zingué</t>
  </si>
  <si>
    <t>Other elements</t>
  </si>
  <si>
    <t>Moulds</t>
  </si>
  <si>
    <t>Moule</t>
  </si>
  <si>
    <t>Acetone</t>
  </si>
  <si>
    <t>Coil winder</t>
  </si>
  <si>
    <t>Enrouleur de bobine</t>
  </si>
  <si>
    <t>Transport</t>
  </si>
  <si>
    <t>Transport of wind turbine</t>
  </si>
  <si>
    <t>Transport de l'éolienne</t>
  </si>
  <si>
    <t>Lorry</t>
  </si>
  <si>
    <t>t.km</t>
  </si>
  <si>
    <t>Train</t>
  </si>
  <si>
    <t>Container 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</si>
</sst>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.m"/>
  </numFmts>
  <fonts count="14">
    <font>
      <sz val="10.0"/>
      <color rgb="FF000000"/>
      <name val="Arial"/>
      <scheme val="minor"/>
    </font>
    <font>
      <b/>
      <sz val="11.0"/>
      <color theme="1"/>
      <name val="Calibri"/>
    </font>
    <font/>
    <font>
      <b/>
      <color theme="1"/>
      <name val="Arial"/>
    </font>
    <font>
      <color theme="1"/>
      <name val="Arial"/>
    </font>
    <font>
      <sz val="11.0"/>
      <color theme="1"/>
      <name val="Calibri"/>
    </font>
    <font>
      <u/>
      <color rgb="FF0000FF"/>
    </font>
    <font>
      <b/>
      <sz val="8.0"/>
      <color rgb="FF000000"/>
      <name val="Calibri"/>
    </font>
    <font>
      <b/>
      <sz val="10.0"/>
      <color rgb="FF000000"/>
      <name val="Calibri"/>
    </font>
    <font>
      <sz val="8.0"/>
      <color rgb="FF000000"/>
      <name val="Calibri"/>
    </font>
    <font>
      <sz val="8.0"/>
      <color theme="1"/>
      <name val="Calibri"/>
    </font>
    <font>
      <b/>
      <sz val="12.0"/>
      <color theme="1"/>
      <name val="Arial"/>
    </font>
    <font>
      <b/>
      <sz val="12.0"/>
      <color rgb="FFFFFFFF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3D85C6"/>
        <bgColor rgb="FF3D85C6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Font="1"/>
    <xf borderId="5" fillId="0" fontId="4" numFmtId="0" xfId="0" applyAlignment="1" applyBorder="1" applyFont="1">
      <alignment horizontal="center"/>
    </xf>
    <xf borderId="0" fillId="0" fontId="5" numFmtId="0" xfId="0" applyAlignment="1" applyFont="1">
      <alignment horizontal="right" vertical="bottom"/>
    </xf>
    <xf borderId="5" fillId="0" fontId="4" numFmtId="0" xfId="0" applyBorder="1" applyFont="1"/>
    <xf borderId="5" fillId="0" fontId="5" numFmtId="0" xfId="0" applyAlignment="1" applyBorder="1" applyFont="1">
      <alignment vertical="bottom"/>
    </xf>
    <xf borderId="0" fillId="0" fontId="4" numFmtId="0" xfId="0" applyFont="1"/>
    <xf borderId="5" fillId="0" fontId="6" numFmtId="0" xfId="0" applyAlignment="1" applyBorder="1" applyFont="1">
      <alignment readingOrder="0" shrinkToFit="0" wrapText="0"/>
    </xf>
    <xf borderId="6" fillId="0" fontId="5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4" numFmtId="0" xfId="0" applyBorder="1" applyFont="1"/>
    <xf borderId="6" fillId="0" fontId="4" numFmtId="0" xfId="0" applyAlignment="1" applyBorder="1" applyFont="1">
      <alignment shrinkToFit="0" wrapText="0"/>
    </xf>
    <xf borderId="8" fillId="0" fontId="1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9" fillId="0" fontId="4" numFmtId="0" xfId="0" applyBorder="1" applyFont="1"/>
    <xf borderId="8" fillId="0" fontId="4" numFmtId="0" xfId="0" applyBorder="1" applyFont="1"/>
    <xf borderId="5" fillId="0" fontId="5" numFmtId="0" xfId="0" applyAlignment="1" applyBorder="1" applyFont="1">
      <alignment horizontal="right" vertical="bottom"/>
    </xf>
    <xf borderId="0" fillId="0" fontId="5" numFmtId="10" xfId="0" applyAlignment="1" applyFont="1" applyNumberFormat="1">
      <alignment horizontal="right" vertical="bottom"/>
    </xf>
    <xf borderId="0" fillId="0" fontId="5" numFmtId="10" xfId="0" applyAlignment="1" applyFont="1" applyNumberFormat="1">
      <alignment horizontal="center" vertical="bottom"/>
    </xf>
    <xf borderId="0" fillId="0" fontId="4" numFmtId="0" xfId="0" applyAlignment="1" applyFont="1">
      <alignment horizontal="center"/>
    </xf>
    <xf borderId="6" fillId="0" fontId="4" numFmtId="0" xfId="0" applyBorder="1" applyFont="1"/>
    <xf borderId="0" fillId="0" fontId="4" numFmtId="164" xfId="0" applyFont="1" applyNumberFormat="1"/>
    <xf borderId="0" fillId="0" fontId="4" numFmtId="2" xfId="0" applyFont="1" applyNumberFormat="1"/>
    <xf borderId="1" fillId="0" fontId="7" numFmtId="0" xfId="0" applyAlignment="1" applyBorder="1" applyFont="1">
      <alignment horizontal="center" vertical="top"/>
    </xf>
    <xf borderId="2" fillId="0" fontId="8" numFmtId="0" xfId="0" applyAlignment="1" applyBorder="1" applyFont="1">
      <alignment horizontal="center" vertical="top"/>
    </xf>
    <xf borderId="1" fillId="0" fontId="8" numFmtId="0" xfId="0" applyAlignment="1" applyBorder="1" applyFont="1">
      <alignment horizontal="center" vertical="top"/>
    </xf>
    <xf borderId="8" fillId="0" fontId="8" numFmtId="0" xfId="0" applyAlignment="1" applyBorder="1" applyFont="1">
      <alignment horizontal="left" shrinkToFit="0" vertical="top" wrapText="1"/>
    </xf>
    <xf borderId="8" fillId="0" fontId="7" numFmtId="0" xfId="0" applyAlignment="1" applyBorder="1" applyFont="1">
      <alignment horizontal="left" vertical="top"/>
    </xf>
    <xf borderId="8" fillId="0" fontId="9" numFmtId="0" xfId="0" applyAlignment="1" applyBorder="1" applyFont="1">
      <alignment horizontal="left" vertical="bottom"/>
    </xf>
    <xf borderId="9" fillId="0" fontId="9" numFmtId="0" xfId="0" applyAlignment="1" applyBorder="1" applyFont="1">
      <alignment horizontal="left" vertical="bottom"/>
    </xf>
    <xf borderId="10" fillId="0" fontId="9" numFmtId="0" xfId="0" applyAlignment="1" applyBorder="1" applyFont="1">
      <alignment horizontal="left" vertical="bottom"/>
    </xf>
    <xf borderId="5" fillId="0" fontId="2" numFmtId="0" xfId="0" applyBorder="1" applyFont="1"/>
    <xf borderId="5" fillId="0" fontId="9" numFmtId="0" xfId="0" applyAlignment="1" applyBorder="1" applyFont="1">
      <alignment horizontal="left" vertical="bottom"/>
    </xf>
    <xf borderId="0" fillId="0" fontId="9" numFmtId="0" xfId="0" applyAlignment="1" applyFont="1">
      <alignment horizontal="left" vertical="bottom"/>
    </xf>
    <xf borderId="11" fillId="0" fontId="9" numFmtId="0" xfId="0" applyAlignment="1" applyBorder="1" applyFont="1">
      <alignment horizontal="left" vertical="bottom"/>
    </xf>
    <xf borderId="6" fillId="0" fontId="2" numFmtId="0" xfId="0" applyBorder="1" applyFont="1"/>
    <xf borderId="6" fillId="0" fontId="9" numFmtId="0" xfId="0" applyAlignment="1" applyBorder="1" applyFont="1">
      <alignment horizontal="left" vertical="bottom"/>
    </xf>
    <xf borderId="7" fillId="0" fontId="9" numFmtId="2" xfId="0" applyAlignment="1" applyBorder="1" applyFont="1" applyNumberFormat="1">
      <alignment horizontal="left" vertical="bottom"/>
    </xf>
    <xf borderId="12" fillId="0" fontId="9" numFmtId="164" xfId="0" applyAlignment="1" applyBorder="1" applyFont="1" applyNumberFormat="1">
      <alignment horizontal="left" vertical="bottom"/>
    </xf>
    <xf borderId="5" fillId="0" fontId="7" numFmtId="0" xfId="0" applyAlignment="1" applyBorder="1" applyFont="1">
      <alignment horizontal="left" vertical="top"/>
    </xf>
    <xf borderId="7" fillId="0" fontId="9" numFmtId="0" xfId="0" applyAlignment="1" applyBorder="1" applyFont="1">
      <alignment horizontal="left" vertical="bottom"/>
    </xf>
    <xf borderId="12" fillId="0" fontId="9" numFmtId="0" xfId="0" applyAlignment="1" applyBorder="1" applyFont="1">
      <alignment horizontal="left" vertical="bottom"/>
    </xf>
    <xf borderId="7" fillId="0" fontId="9" numFmtId="165" xfId="0" applyAlignment="1" applyBorder="1" applyFont="1" applyNumberFormat="1">
      <alignment horizontal="left" vertical="bottom"/>
    </xf>
    <xf borderId="8" fillId="0" fontId="8" numFmtId="0" xfId="0" applyAlignment="1" applyBorder="1" applyFont="1">
      <alignment horizontal="left" vertical="top"/>
    </xf>
    <xf borderId="13" fillId="0" fontId="9" numFmtId="0" xfId="0" applyAlignment="1" applyBorder="1" applyFont="1">
      <alignment horizontal="left" vertical="bottom"/>
    </xf>
    <xf borderId="14" fillId="0" fontId="2" numFmtId="0" xfId="0" applyBorder="1" applyFont="1"/>
    <xf borderId="15" fillId="0" fontId="2" numFmtId="0" xfId="0" applyBorder="1" applyFont="1"/>
    <xf borderId="10" fillId="0" fontId="2" numFmtId="0" xfId="0" applyBorder="1" applyFont="1"/>
    <xf borderId="14" fillId="0" fontId="9" numFmtId="0" xfId="0" applyAlignment="1" applyBorder="1" applyFont="1">
      <alignment horizontal="left" vertical="bottom"/>
    </xf>
    <xf borderId="11" fillId="0" fontId="2" numFmtId="0" xfId="0" applyBorder="1" applyFont="1"/>
    <xf borderId="15" fillId="0" fontId="9" numFmtId="0" xfId="0" applyAlignment="1" applyBorder="1" applyFont="1">
      <alignment horizontal="left" vertical="bottom"/>
    </xf>
    <xf borderId="12" fillId="0" fontId="2" numFmtId="0" xfId="0" applyBorder="1" applyFont="1"/>
    <xf borderId="7" fillId="0" fontId="10" numFmtId="0" xfId="0" applyAlignment="1" applyBorder="1" applyFont="1">
      <alignment horizontal="left" vertical="bottom"/>
    </xf>
    <xf borderId="12" fillId="0" fontId="10" numFmtId="0" xfId="0" applyAlignment="1" applyBorder="1" applyFont="1">
      <alignment horizontal="left" vertical="bottom"/>
    </xf>
    <xf borderId="0" fillId="0" fontId="9" numFmtId="165" xfId="0" applyAlignment="1" applyFont="1" applyNumberFormat="1">
      <alignment horizontal="left"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horizontal="left" vertical="bottom"/>
    </xf>
    <xf borderId="11" fillId="0" fontId="11" numFmtId="0" xfId="0" applyAlignment="1" applyBorder="1" applyFont="1">
      <alignment horizontal="center" shrinkToFit="0" vertical="top" wrapText="1"/>
    </xf>
    <xf borderId="5" fillId="0" fontId="11" numFmtId="0" xfId="0" applyAlignment="1" applyBorder="1" applyFont="1">
      <alignment horizontal="center" shrinkToFit="0" vertical="top" wrapText="1"/>
    </xf>
    <xf borderId="11" fillId="2" fontId="12" numFmtId="0" xfId="0" applyAlignment="1" applyBorder="1" applyFill="1" applyFont="1">
      <alignment shrinkToFit="0" vertical="top" wrapText="1"/>
    </xf>
    <xf borderId="5" fillId="3" fontId="13" numFmtId="0" xfId="0" applyAlignment="1" applyBorder="1" applyFill="1" applyFont="1">
      <alignment shrinkToFit="0" vertical="top" wrapText="1"/>
    </xf>
    <xf borderId="5" fillId="4" fontId="4" numFmtId="0" xfId="0" applyAlignment="1" applyBorder="1" applyFill="1" applyFont="1">
      <alignment shrinkToFit="0" vertical="top" wrapText="1"/>
    </xf>
    <xf borderId="11" fillId="2" fontId="4" numFmtId="0" xfId="0" applyAlignment="1" applyBorder="1" applyFont="1">
      <alignment vertical="top"/>
    </xf>
    <xf borderId="5" fillId="3" fontId="4" numFmtId="0" xfId="0" applyAlignment="1" applyBorder="1" applyFont="1">
      <alignment vertical="top"/>
    </xf>
    <xf borderId="5" fillId="5" fontId="4" numFmtId="0" xfId="0" applyAlignment="1" applyBorder="1" applyFill="1" applyFont="1">
      <alignment shrinkToFit="0" vertical="top" wrapText="1"/>
    </xf>
    <xf borderId="5" fillId="6" fontId="13" numFmtId="0" xfId="0" applyAlignment="1" applyBorder="1" applyFill="1" applyFont="1">
      <alignment shrinkToFit="0" vertical="top" wrapText="1"/>
    </xf>
    <xf borderId="5" fillId="6" fontId="4" numFmtId="0" xfId="0" applyAlignment="1" applyBorder="1" applyFont="1">
      <alignment vertical="top"/>
    </xf>
    <xf borderId="5" fillId="4" fontId="4" numFmtId="0" xfId="0" applyAlignment="1" applyBorder="1" applyFont="1">
      <alignment vertical="top"/>
    </xf>
    <xf borderId="5" fillId="5" fontId="13" numFmtId="0" xfId="0" applyAlignment="1" applyBorder="1" applyFont="1">
      <alignment shrinkToFit="0" vertical="top" wrapText="1"/>
    </xf>
    <xf borderId="5" fillId="5" fontId="4" numFmtId="0" xfId="0" applyAlignment="1" applyBorder="1" applyFont="1">
      <alignment vertical="top"/>
    </xf>
    <xf borderId="5" fillId="7" fontId="4" numFmtId="0" xfId="0" applyAlignment="1" applyBorder="1" applyFill="1" applyFont="1">
      <alignment shrinkToFit="0" vertical="top" wrapText="1"/>
    </xf>
    <xf borderId="5" fillId="7" fontId="4" numFmtId="0" xfId="0" applyAlignment="1" applyBorder="1" applyFont="1">
      <alignment vertical="top"/>
    </xf>
    <xf borderId="9" fillId="8" fontId="4" numFmtId="0" xfId="0" applyAlignment="1" applyBorder="1" applyFill="1" applyFont="1">
      <alignment vertical="top"/>
    </xf>
    <xf borderId="0" fillId="8" fontId="4" numFmtId="0" xfId="0" applyAlignment="1" applyFont="1">
      <alignment vertical="top"/>
    </xf>
    <xf borderId="0" fillId="8" fontId="4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metals4u.co.uk/materials/mild-steel/mild-steel-tube/59751-p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38"/>
    <col customWidth="1" min="2" max="6" width="12.63"/>
    <col customWidth="1" min="7" max="7" width="29.5"/>
  </cols>
  <sheetData>
    <row r="1" ht="15.75" customHeight="1">
      <c r="A1" s="1" t="s">
        <v>0</v>
      </c>
      <c r="B1" s="2" t="s">
        <v>1</v>
      </c>
      <c r="C1" s="3"/>
      <c r="D1" s="3"/>
      <c r="E1" s="3"/>
      <c r="F1" s="4"/>
      <c r="G1" s="5" t="s">
        <v>2</v>
      </c>
    </row>
    <row r="2" ht="15.75" customHeight="1">
      <c r="A2" s="6"/>
      <c r="B2" s="7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9"/>
    </row>
    <row r="3" ht="15.75" customHeight="1">
      <c r="A3" s="6" t="s">
        <v>8</v>
      </c>
      <c r="B3" s="10"/>
      <c r="G3" s="11"/>
    </row>
    <row r="4" ht="15.75" customHeight="1">
      <c r="A4" s="12" t="s">
        <v>9</v>
      </c>
      <c r="B4" s="10">
        <v>20.0</v>
      </c>
      <c r="C4" s="10">
        <v>20.0</v>
      </c>
      <c r="D4" s="10">
        <v>20.0</v>
      </c>
      <c r="E4" s="10">
        <v>20.0</v>
      </c>
      <c r="F4" s="10">
        <v>20.0</v>
      </c>
      <c r="G4" s="11" t="s">
        <v>10</v>
      </c>
    </row>
    <row r="5" ht="15.75" customHeight="1">
      <c r="A5" s="12" t="s">
        <v>11</v>
      </c>
      <c r="B5" s="10">
        <v>55.0</v>
      </c>
      <c r="C5" s="10">
        <v>55.0</v>
      </c>
      <c r="D5" s="10">
        <v>55.0</v>
      </c>
      <c r="E5" s="10">
        <v>55.0</v>
      </c>
      <c r="F5" s="10">
        <v>55.0</v>
      </c>
      <c r="G5" s="11" t="s">
        <v>10</v>
      </c>
    </row>
    <row r="6" ht="15.75" customHeight="1">
      <c r="A6" s="12" t="s">
        <v>12</v>
      </c>
      <c r="B6" s="10">
        <v>300.0</v>
      </c>
      <c r="C6" s="13">
        <v>300.0</v>
      </c>
      <c r="D6" s="13">
        <v>400.0</v>
      </c>
      <c r="E6" s="13">
        <v>500.0</v>
      </c>
      <c r="F6" s="13">
        <v>600.0</v>
      </c>
      <c r="G6" s="11" t="s">
        <v>13</v>
      </c>
    </row>
    <row r="7" ht="15.75" customHeight="1">
      <c r="A7" s="12" t="s">
        <v>14</v>
      </c>
      <c r="B7" s="10">
        <v>30.0</v>
      </c>
      <c r="C7" s="10">
        <v>30.0</v>
      </c>
      <c r="D7" s="10">
        <v>30.0</v>
      </c>
      <c r="E7" s="10">
        <v>30.0</v>
      </c>
      <c r="F7" s="10">
        <v>30.0</v>
      </c>
      <c r="G7" s="11" t="s">
        <v>15</v>
      </c>
    </row>
    <row r="8" ht="15.75" customHeight="1">
      <c r="A8" s="12" t="s">
        <v>16</v>
      </c>
      <c r="B8" s="10">
        <v>3.0</v>
      </c>
      <c r="C8" s="10">
        <v>3.0</v>
      </c>
      <c r="D8" s="10">
        <v>3.0</v>
      </c>
      <c r="E8" s="10">
        <v>3.0</v>
      </c>
      <c r="F8" s="10">
        <v>3.0</v>
      </c>
      <c r="G8" s="11" t="s">
        <v>17</v>
      </c>
    </row>
    <row r="9" ht="15.75" customHeight="1">
      <c r="A9" s="12" t="s">
        <v>18</v>
      </c>
      <c r="B9" s="10">
        <v>800.0</v>
      </c>
      <c r="C9" s="13">
        <v>1000.0</v>
      </c>
      <c r="D9" s="13">
        <v>1200.0</v>
      </c>
      <c r="E9" s="13">
        <v>1500.0</v>
      </c>
      <c r="F9" s="13">
        <v>1800.0</v>
      </c>
      <c r="G9" s="11" t="s">
        <v>19</v>
      </c>
    </row>
    <row r="10" ht="15.75" customHeight="1">
      <c r="A10" s="12" t="s">
        <v>20</v>
      </c>
      <c r="B10" s="10">
        <v>48.3</v>
      </c>
      <c r="C10" s="10">
        <v>48.3</v>
      </c>
      <c r="D10" s="10">
        <v>48.3</v>
      </c>
      <c r="E10" s="10">
        <v>48.3</v>
      </c>
      <c r="F10" s="10">
        <v>48.3</v>
      </c>
      <c r="G10" s="11" t="s">
        <v>19</v>
      </c>
    </row>
    <row r="11" ht="15.75" customHeight="1">
      <c r="A11" s="12" t="s">
        <v>21</v>
      </c>
      <c r="B11" s="10">
        <v>3.2</v>
      </c>
      <c r="C11" s="10">
        <v>3.2</v>
      </c>
      <c r="D11" s="10">
        <v>3.2</v>
      </c>
      <c r="E11" s="10">
        <v>3.2</v>
      </c>
      <c r="F11" s="10">
        <v>3.2</v>
      </c>
      <c r="G11" s="14" t="s">
        <v>22</v>
      </c>
    </row>
    <row r="12" ht="15.75" customHeight="1">
      <c r="A12" s="12" t="s">
        <v>23</v>
      </c>
      <c r="B12" s="10">
        <v>6.0</v>
      </c>
      <c r="C12" s="13">
        <v>10.0</v>
      </c>
      <c r="D12" s="13">
        <v>10.0</v>
      </c>
      <c r="E12" s="13">
        <v>12.0</v>
      </c>
      <c r="F12" s="13">
        <v>12.0</v>
      </c>
      <c r="G12" s="11" t="s">
        <v>13</v>
      </c>
    </row>
    <row r="13" ht="15.75" customHeight="1">
      <c r="A13" s="12" t="s">
        <v>24</v>
      </c>
      <c r="B13" s="10">
        <v>1000.0</v>
      </c>
      <c r="C13" s="13">
        <v>1200.0</v>
      </c>
      <c r="D13" s="13">
        <v>1300.0</v>
      </c>
      <c r="E13" s="13">
        <v>1700.0</v>
      </c>
      <c r="F13" s="13">
        <v>2000.0</v>
      </c>
      <c r="G13" s="11" t="s">
        <v>13</v>
      </c>
    </row>
    <row r="14" ht="15.75" customHeight="1">
      <c r="A14" s="12" t="s">
        <v>25</v>
      </c>
      <c r="B14" s="10">
        <v>510.0</v>
      </c>
      <c r="C14" s="13">
        <v>635.0</v>
      </c>
      <c r="D14" s="13">
        <v>890.0</v>
      </c>
      <c r="E14" s="13">
        <v>890.0</v>
      </c>
      <c r="F14" s="13">
        <v>1145.0</v>
      </c>
      <c r="G14" s="11" t="s">
        <v>13</v>
      </c>
    </row>
    <row r="15" ht="15.75" customHeight="1">
      <c r="A15" s="15" t="s">
        <v>26</v>
      </c>
      <c r="B15" s="16">
        <v>100.0</v>
      </c>
      <c r="C15" s="17">
        <v>125.0</v>
      </c>
      <c r="D15" s="17">
        <v>150.0</v>
      </c>
      <c r="E15" s="17">
        <v>200.0</v>
      </c>
      <c r="F15" s="17">
        <v>250.0</v>
      </c>
      <c r="G15" s="18" t="s">
        <v>27</v>
      </c>
    </row>
    <row r="16" ht="15.75" customHeight="1">
      <c r="A16" s="19" t="s">
        <v>28</v>
      </c>
      <c r="B16" s="20"/>
      <c r="C16" s="21"/>
      <c r="D16" s="21"/>
      <c r="E16" s="21"/>
      <c r="F16" s="21"/>
      <c r="G16" s="22"/>
    </row>
    <row r="17" ht="15.75" customHeight="1">
      <c r="A17" s="12" t="s">
        <v>29</v>
      </c>
      <c r="B17" s="10">
        <v>124.0</v>
      </c>
      <c r="C17" s="10">
        <v>124.0</v>
      </c>
      <c r="D17" s="10">
        <v>124.0</v>
      </c>
      <c r="E17" s="10">
        <v>124.0</v>
      </c>
      <c r="F17" s="10">
        <v>124.0</v>
      </c>
      <c r="G17" s="11" t="s">
        <v>30</v>
      </c>
    </row>
    <row r="18" ht="15.75" customHeight="1">
      <c r="A18" s="12" t="s">
        <v>31</v>
      </c>
      <c r="B18" s="10">
        <v>100.0</v>
      </c>
      <c r="C18" s="13">
        <v>100.0</v>
      </c>
      <c r="D18" s="13">
        <v>100.0</v>
      </c>
      <c r="E18" s="13">
        <v>118.5</v>
      </c>
      <c r="F18" s="13">
        <v>118.5</v>
      </c>
      <c r="G18" s="11" t="s">
        <v>32</v>
      </c>
    </row>
    <row r="19" ht="15.75" customHeight="1">
      <c r="A19" s="12" t="s">
        <v>33</v>
      </c>
      <c r="B19" s="10">
        <v>76.0</v>
      </c>
      <c r="C19" s="13">
        <v>76.0</v>
      </c>
      <c r="D19" s="13">
        <v>76.0</v>
      </c>
      <c r="E19" s="13">
        <v>86.0</v>
      </c>
      <c r="F19" s="13">
        <v>86.0</v>
      </c>
      <c r="G19" s="11" t="s">
        <v>32</v>
      </c>
    </row>
    <row r="20" ht="15.75" customHeight="1">
      <c r="A20" s="23" t="s">
        <v>34</v>
      </c>
      <c r="B20" s="24">
        <f>1-(0.26^2-0.076^2)/(0.26^2-0.07^2)</f>
        <v>0.01397129187</v>
      </c>
      <c r="C20" s="25">
        <f>1-(0.3^2-0.076^2)/(0.3^2-0.07^2)</f>
        <v>0.01029377203</v>
      </c>
      <c r="D20" s="25">
        <f>1-(0.35^2-0.076^2)/(0.35^2-0.07^2)</f>
        <v>0.007448979592</v>
      </c>
      <c r="E20" s="26" t="s">
        <v>35</v>
      </c>
      <c r="F20" s="26" t="s">
        <v>35</v>
      </c>
      <c r="G20" s="11"/>
    </row>
    <row r="21" ht="15.75" customHeight="1">
      <c r="A21" s="12" t="s">
        <v>36</v>
      </c>
      <c r="B21" s="10">
        <v>12.0</v>
      </c>
      <c r="C21" s="10">
        <v>12.0</v>
      </c>
      <c r="D21" s="10">
        <v>12.0</v>
      </c>
      <c r="E21" s="13">
        <v>14.0</v>
      </c>
      <c r="F21" s="13">
        <v>14.0</v>
      </c>
      <c r="G21" s="11" t="s">
        <v>37</v>
      </c>
    </row>
    <row r="22" ht="15.75" customHeight="1">
      <c r="A22" s="12" t="s">
        <v>38</v>
      </c>
      <c r="B22" s="10">
        <v>50.0</v>
      </c>
      <c r="C22" s="10">
        <v>50.0</v>
      </c>
      <c r="D22" s="10">
        <v>50.0</v>
      </c>
      <c r="E22" s="10">
        <v>50.0</v>
      </c>
      <c r="F22" s="10">
        <v>50.0</v>
      </c>
      <c r="G22" s="11" t="s">
        <v>39</v>
      </c>
    </row>
    <row r="23" ht="15.75" customHeight="1">
      <c r="A23" s="12" t="s">
        <v>40</v>
      </c>
      <c r="B23" s="10">
        <v>5.0</v>
      </c>
      <c r="C23" s="10">
        <v>5.0</v>
      </c>
      <c r="D23" s="10">
        <v>5.0</v>
      </c>
      <c r="E23" s="10">
        <v>5.0</v>
      </c>
      <c r="F23" s="10">
        <v>5.0</v>
      </c>
      <c r="G23" s="11" t="s">
        <v>39</v>
      </c>
    </row>
    <row r="24" ht="15.75" customHeight="1">
      <c r="A24" s="12" t="s">
        <v>41</v>
      </c>
      <c r="B24" s="10">
        <v>10.0</v>
      </c>
      <c r="C24" s="10">
        <v>10.0</v>
      </c>
      <c r="D24" s="10">
        <v>10.0</v>
      </c>
      <c r="E24" s="10">
        <v>10.0</v>
      </c>
      <c r="F24" s="10">
        <v>10.0</v>
      </c>
      <c r="G24" s="11" t="s">
        <v>42</v>
      </c>
    </row>
    <row r="25" ht="15.75" customHeight="1">
      <c r="A25" s="12" t="s">
        <v>43</v>
      </c>
      <c r="B25" s="10">
        <v>60.3</v>
      </c>
      <c r="C25" s="10">
        <v>60.3</v>
      </c>
      <c r="D25" s="10">
        <v>60.3</v>
      </c>
      <c r="E25" s="13">
        <v>88.9</v>
      </c>
      <c r="F25" s="13">
        <v>88.9</v>
      </c>
      <c r="G25" s="11" t="s">
        <v>19</v>
      </c>
    </row>
    <row r="26" ht="15.75" customHeight="1">
      <c r="A26" s="12" t="s">
        <v>44</v>
      </c>
      <c r="B26" s="10">
        <v>5.0</v>
      </c>
      <c r="C26" s="10">
        <v>5.0</v>
      </c>
      <c r="D26" s="10">
        <v>5.0</v>
      </c>
      <c r="E26" s="10">
        <v>5.0</v>
      </c>
      <c r="F26" s="10">
        <v>5.0</v>
      </c>
      <c r="G26" s="11" t="s">
        <v>45</v>
      </c>
    </row>
    <row r="27" ht="15.75" customHeight="1">
      <c r="A27" s="12" t="s">
        <v>46</v>
      </c>
      <c r="B27" s="10">
        <v>5.0</v>
      </c>
      <c r="C27" s="10">
        <v>5.0</v>
      </c>
      <c r="D27" s="10">
        <v>5.0</v>
      </c>
      <c r="E27" s="10">
        <v>5.0</v>
      </c>
      <c r="F27" s="10">
        <v>5.0</v>
      </c>
      <c r="G27" s="11" t="s">
        <v>47</v>
      </c>
    </row>
    <row r="28" ht="15.75" customHeight="1">
      <c r="A28" s="15" t="s">
        <v>48</v>
      </c>
      <c r="B28" s="16">
        <v>12.0</v>
      </c>
      <c r="C28" s="16">
        <v>12.0</v>
      </c>
      <c r="D28" s="16">
        <v>12.0</v>
      </c>
      <c r="E28" s="17">
        <v>14.0</v>
      </c>
      <c r="F28" s="17">
        <v>14.0</v>
      </c>
      <c r="G28" s="27" t="s">
        <v>32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hyperlinks>
    <hyperlink r:id="rId2" ref="G11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3" t="s">
        <v>49</v>
      </c>
      <c r="B1" s="13" t="s">
        <v>3</v>
      </c>
      <c r="C1" s="13" t="s">
        <v>4</v>
      </c>
      <c r="D1" s="13">
        <v>3.0</v>
      </c>
      <c r="E1" s="13" t="s">
        <v>6</v>
      </c>
      <c r="F1" s="13" t="s">
        <v>7</v>
      </c>
    </row>
    <row r="2" ht="15.75" customHeight="1">
      <c r="A2" s="13" t="s">
        <v>50</v>
      </c>
      <c r="C2" s="13">
        <v>562060.0</v>
      </c>
    </row>
    <row r="3" ht="15.75" customHeight="1">
      <c r="A3" s="13" t="s">
        <v>51</v>
      </c>
      <c r="C3" s="13">
        <v>319291.0</v>
      </c>
    </row>
    <row r="4" ht="15.75" customHeight="1">
      <c r="A4" s="13" t="s">
        <v>52</v>
      </c>
      <c r="C4" s="13">
        <v>4231500.0</v>
      </c>
    </row>
    <row r="5" ht="15.75" customHeight="1">
      <c r="A5" s="13" t="s">
        <v>53</v>
      </c>
      <c r="C5" s="13">
        <v>2835395.0</v>
      </c>
    </row>
    <row r="6" ht="15.75" customHeight="1"/>
    <row r="7" ht="15.75" customHeight="1">
      <c r="A7" s="13" t="s">
        <v>54</v>
      </c>
      <c r="C7" s="13">
        <f>C2+C3+C4-C5</f>
        <v>2277456</v>
      </c>
    </row>
    <row r="8" ht="15.75" customHeight="1">
      <c r="A8" s="13" t="s">
        <v>55</v>
      </c>
      <c r="C8" s="13">
        <f>C5</f>
        <v>2835395</v>
      </c>
    </row>
    <row r="9" ht="15.75" customHeight="1"/>
    <row r="10" ht="15.75" customHeight="1">
      <c r="A10" s="13" t="s">
        <v>56</v>
      </c>
    </row>
    <row r="11" ht="15.75" customHeight="1">
      <c r="A11" s="13" t="s">
        <v>54</v>
      </c>
      <c r="C11" s="28">
        <f>B14*C7*0.000000001</f>
        <v>17.8780296</v>
      </c>
    </row>
    <row r="12" ht="15.75" customHeight="1">
      <c r="A12" s="13" t="s">
        <v>55</v>
      </c>
      <c r="C12" s="29">
        <f>C8*B15*0.000000001</f>
        <v>1.4176975</v>
      </c>
    </row>
    <row r="13" ht="15.75" customHeight="1"/>
    <row r="14" ht="15.75" customHeight="1">
      <c r="A14" s="13" t="s">
        <v>57</v>
      </c>
      <c r="B14" s="13">
        <v>7850.0</v>
      </c>
    </row>
    <row r="15" ht="15.75" customHeight="1">
      <c r="A15" s="13" t="s">
        <v>58</v>
      </c>
      <c r="B15" s="13">
        <v>500.0</v>
      </c>
    </row>
    <row r="16" ht="15.75" customHeight="1"/>
    <row r="17" ht="15.75" customHeight="1">
      <c r="A17" s="13" t="s">
        <v>59</v>
      </c>
      <c r="B17" s="13">
        <f>350/24/3/1.5</f>
        <v>3.240740741</v>
      </c>
      <c r="C17" s="13">
        <f>700/24/3/1.5/2</f>
        <v>3.240740741</v>
      </c>
      <c r="D17" s="13">
        <f>1000/24/3/2/1.6</f>
        <v>4.340277778</v>
      </c>
      <c r="E17" s="13">
        <f>1500/24/3/2/1.8</f>
        <v>5.787037037</v>
      </c>
      <c r="F17" s="13">
        <f>2000/24/3/2/1.8</f>
        <v>7.716049383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8.63"/>
    <col customWidth="1" min="4" max="6" width="12.63"/>
    <col customWidth="1" min="10" max="10" width="19.88"/>
  </cols>
  <sheetData>
    <row r="1" ht="15.75" customHeight="1">
      <c r="A1" s="30"/>
      <c r="B1" s="31" t="s">
        <v>60</v>
      </c>
      <c r="C1" s="4"/>
      <c r="D1" s="32" t="s">
        <v>3</v>
      </c>
      <c r="E1" s="32" t="s">
        <v>4</v>
      </c>
      <c r="F1" s="32" t="s">
        <v>61</v>
      </c>
      <c r="G1" s="32" t="s">
        <v>6</v>
      </c>
      <c r="H1" s="32" t="s">
        <v>7</v>
      </c>
      <c r="K1" s="13" t="s">
        <v>62</v>
      </c>
    </row>
    <row r="2" ht="15.75" customHeight="1">
      <c r="A2" s="33" t="s">
        <v>63</v>
      </c>
      <c r="B2" s="34" t="s">
        <v>64</v>
      </c>
      <c r="C2" s="35" t="s">
        <v>65</v>
      </c>
      <c r="D2" s="36">
        <v>260.0</v>
      </c>
      <c r="E2" s="36">
        <v>300.0</v>
      </c>
      <c r="F2" s="36">
        <v>350.0</v>
      </c>
      <c r="G2" s="36">
        <v>400.0</v>
      </c>
      <c r="H2" s="37">
        <v>450.0</v>
      </c>
      <c r="J2" s="13" t="s">
        <v>66</v>
      </c>
      <c r="K2" s="13">
        <v>7850.0</v>
      </c>
    </row>
    <row r="3" ht="15.75" customHeight="1">
      <c r="A3" s="38"/>
      <c r="B3" s="38"/>
      <c r="C3" s="39" t="s">
        <v>67</v>
      </c>
      <c r="D3" s="40">
        <v>6.0</v>
      </c>
      <c r="E3" s="40">
        <v>10.0</v>
      </c>
      <c r="F3" s="40">
        <v>10.0</v>
      </c>
      <c r="G3" s="40">
        <v>10.0</v>
      </c>
      <c r="H3" s="41">
        <v>10.0</v>
      </c>
    </row>
    <row r="4" ht="15.75" customHeight="1">
      <c r="A4" s="38"/>
      <c r="B4" s="42"/>
      <c r="C4" s="43" t="s">
        <v>68</v>
      </c>
      <c r="D4" s="44">
        <f t="shared" ref="D4:H4" si="1">PI()/4*(D2/1000)^2*D3/1000*$K$2</f>
        <v>2.500676336</v>
      </c>
      <c r="E4" s="44">
        <f t="shared" si="1"/>
        <v>5.548838024</v>
      </c>
      <c r="F4" s="44">
        <f t="shared" si="1"/>
        <v>7.552585089</v>
      </c>
      <c r="G4" s="44">
        <f t="shared" si="1"/>
        <v>9.864600932</v>
      </c>
      <c r="H4" s="45">
        <f t="shared" si="1"/>
        <v>12.48488555</v>
      </c>
    </row>
    <row r="5" ht="15.75" customHeight="1">
      <c r="A5" s="38"/>
      <c r="B5" s="46"/>
      <c r="C5" s="39" t="s">
        <v>69</v>
      </c>
      <c r="D5" s="40">
        <v>8.0</v>
      </c>
      <c r="E5" s="40">
        <v>24.0</v>
      </c>
      <c r="F5" s="40">
        <v>24.0</v>
      </c>
      <c r="G5" s="40">
        <v>40.0</v>
      </c>
      <c r="H5" s="41">
        <v>32.0</v>
      </c>
      <c r="K5" s="13" t="s">
        <v>70</v>
      </c>
    </row>
    <row r="6" ht="15.75" customHeight="1">
      <c r="A6" s="38"/>
      <c r="B6" s="38"/>
      <c r="C6" s="43" t="s">
        <v>68</v>
      </c>
      <c r="D6" s="47">
        <f t="shared" ref="D6:H6" si="2">D5*$K$7</f>
        <v>0.84</v>
      </c>
      <c r="E6" s="47">
        <f t="shared" si="2"/>
        <v>2.52</v>
      </c>
      <c r="F6" s="47">
        <f t="shared" si="2"/>
        <v>2.52</v>
      </c>
      <c r="G6" s="47">
        <f t="shared" si="2"/>
        <v>4.2</v>
      </c>
      <c r="H6" s="48">
        <f t="shared" si="2"/>
        <v>3.36</v>
      </c>
      <c r="J6" s="13"/>
      <c r="K6" s="13"/>
    </row>
    <row r="7" ht="15.75" customHeight="1">
      <c r="A7" s="42"/>
      <c r="B7" s="42"/>
      <c r="C7" s="43" t="s">
        <v>71</v>
      </c>
      <c r="D7" s="49">
        <v>45779.0</v>
      </c>
      <c r="E7" s="47">
        <v>3.0</v>
      </c>
      <c r="F7" s="47">
        <v>4.0</v>
      </c>
      <c r="G7" s="47">
        <v>5.0</v>
      </c>
      <c r="H7" s="48">
        <v>7.0</v>
      </c>
      <c r="J7" s="13" t="s">
        <v>69</v>
      </c>
      <c r="K7" s="13">
        <f>0.105</f>
        <v>0.105</v>
      </c>
    </row>
    <row r="8" ht="15.75" customHeight="1">
      <c r="A8" s="50" t="s">
        <v>72</v>
      </c>
      <c r="B8" s="51"/>
      <c r="C8" s="35" t="s">
        <v>73</v>
      </c>
      <c r="D8" s="36">
        <v>95.0</v>
      </c>
      <c r="E8" s="36">
        <v>120.0</v>
      </c>
      <c r="F8" s="36">
        <v>145.0</v>
      </c>
      <c r="G8" s="36">
        <v>225.0</v>
      </c>
      <c r="H8" s="37">
        <v>225.0</v>
      </c>
    </row>
    <row r="9" ht="15.75" customHeight="1">
      <c r="A9" s="38"/>
      <c r="B9" s="52"/>
      <c r="C9" s="39" t="s">
        <v>74</v>
      </c>
      <c r="D9" s="40">
        <v>35.0</v>
      </c>
      <c r="E9" s="40">
        <v>45.0</v>
      </c>
      <c r="F9" s="40">
        <v>45.0</v>
      </c>
      <c r="G9" s="40">
        <v>60.0</v>
      </c>
      <c r="H9" s="41">
        <v>75.0</v>
      </c>
    </row>
    <row r="10" ht="15.75" customHeight="1">
      <c r="A10" s="38"/>
      <c r="B10" s="52"/>
      <c r="C10" s="43" t="s">
        <v>75</v>
      </c>
      <c r="D10" s="47">
        <v>2700.0</v>
      </c>
      <c r="E10" s="47">
        <v>3600.0</v>
      </c>
      <c r="F10" s="47">
        <v>4500.0</v>
      </c>
      <c r="G10" s="47">
        <v>6300.0</v>
      </c>
      <c r="H10" s="48">
        <v>6300.0</v>
      </c>
    </row>
    <row r="11" ht="15.75" customHeight="1">
      <c r="A11" s="42"/>
      <c r="B11" s="53"/>
      <c r="C11" s="43" t="s">
        <v>76</v>
      </c>
      <c r="D11" s="40">
        <f t="shared" ref="D11:H11" si="3">D8*D9*D10/10^9</f>
        <v>0.0089775</v>
      </c>
      <c r="E11" s="40">
        <f t="shared" si="3"/>
        <v>0.01944</v>
      </c>
      <c r="F11" s="40">
        <f t="shared" si="3"/>
        <v>0.0293625</v>
      </c>
      <c r="G11" s="47">
        <f t="shared" si="3"/>
        <v>0.08505</v>
      </c>
      <c r="H11" s="48">
        <f t="shared" si="3"/>
        <v>0.1063125</v>
      </c>
    </row>
    <row r="12" ht="15.75" customHeight="1">
      <c r="A12" s="33" t="s">
        <v>77</v>
      </c>
      <c r="B12" s="34" t="s">
        <v>78</v>
      </c>
      <c r="C12" s="39">
        <v>48.3</v>
      </c>
      <c r="D12" s="36">
        <v>1700.0</v>
      </c>
      <c r="E12" s="36">
        <v>2000.0</v>
      </c>
      <c r="F12" s="36">
        <v>2300.0</v>
      </c>
      <c r="G12" s="40"/>
      <c r="H12" s="41"/>
    </row>
    <row r="13" ht="15.75" customHeight="1">
      <c r="A13" s="38"/>
      <c r="B13" s="38"/>
      <c r="C13" s="39">
        <v>60.3</v>
      </c>
      <c r="D13" s="40">
        <v>380.0</v>
      </c>
      <c r="E13" s="40">
        <v>430.0</v>
      </c>
      <c r="F13" s="40">
        <v>530.0</v>
      </c>
      <c r="G13" s="40"/>
      <c r="H13" s="41"/>
    </row>
    <row r="14" ht="15.75" customHeight="1">
      <c r="A14" s="38"/>
      <c r="B14" s="38"/>
      <c r="C14" s="39">
        <v>76.1</v>
      </c>
      <c r="D14" s="40"/>
      <c r="E14" s="40"/>
      <c r="F14" s="40"/>
      <c r="G14" s="40"/>
      <c r="H14" s="41"/>
    </row>
    <row r="15" ht="15.75" customHeight="1">
      <c r="A15" s="42"/>
      <c r="B15" s="42"/>
      <c r="C15" s="43">
        <v>88.9</v>
      </c>
      <c r="D15" s="47"/>
      <c r="E15" s="47"/>
      <c r="F15" s="47"/>
      <c r="G15" s="47"/>
      <c r="H15" s="48"/>
    </row>
    <row r="16" ht="15.75" customHeight="1">
      <c r="A16" s="33" t="s">
        <v>79</v>
      </c>
      <c r="B16" s="34" t="s">
        <v>80</v>
      </c>
      <c r="C16" s="35">
        <v>6.0</v>
      </c>
      <c r="D16" s="36">
        <f>60*180/10^6</f>
        <v>0.0108</v>
      </c>
      <c r="E16" s="36">
        <f>40*100/10^6</f>
        <v>0.004</v>
      </c>
      <c r="F16" s="36">
        <f>50*100/10^6</f>
        <v>0.005</v>
      </c>
      <c r="G16" s="36">
        <f>50*100</f>
        <v>5000</v>
      </c>
      <c r="H16" s="37"/>
    </row>
    <row r="17" ht="15.75" customHeight="1">
      <c r="A17" s="38"/>
      <c r="B17" s="38"/>
      <c r="C17" s="39">
        <v>10.0</v>
      </c>
      <c r="D17" s="40">
        <f>50*50/10^6</f>
        <v>0.0025</v>
      </c>
      <c r="E17" s="40"/>
      <c r="F17" s="40"/>
      <c r="G17" s="40"/>
      <c r="H17" s="41"/>
    </row>
    <row r="18" ht="15.75" customHeight="1">
      <c r="A18" s="38"/>
      <c r="B18" s="38"/>
      <c r="C18" s="39">
        <v>12.0</v>
      </c>
      <c r="D18" s="40">
        <f>50*60/10^6</f>
        <v>0.003</v>
      </c>
      <c r="E18" s="40"/>
      <c r="F18" s="40"/>
      <c r="G18" s="40"/>
      <c r="H18" s="41"/>
    </row>
    <row r="19" ht="15.75" customHeight="1">
      <c r="A19" s="38"/>
      <c r="B19" s="38"/>
      <c r="C19" s="39">
        <v>16.0</v>
      </c>
      <c r="D19" s="40">
        <f>50*220/10^6</f>
        <v>0.011</v>
      </c>
      <c r="E19" s="40"/>
      <c r="F19" s="40"/>
      <c r="G19" s="40"/>
      <c r="H19" s="41"/>
    </row>
    <row r="20" ht="15.75" customHeight="1">
      <c r="A20" s="42"/>
      <c r="B20" s="42"/>
      <c r="C20" s="43">
        <v>18.0</v>
      </c>
      <c r="D20" s="47"/>
      <c r="E20" s="47"/>
      <c r="F20" s="47"/>
      <c r="G20" s="47"/>
      <c r="H20" s="48"/>
    </row>
    <row r="21" ht="15.75" customHeight="1">
      <c r="A21" s="50" t="s">
        <v>81</v>
      </c>
      <c r="B21" s="51" t="s">
        <v>82</v>
      </c>
      <c r="C21" s="54"/>
      <c r="D21" s="36">
        <v>1200.0</v>
      </c>
      <c r="E21" s="36">
        <v>1600.0</v>
      </c>
      <c r="F21" s="36">
        <v>1600.0</v>
      </c>
      <c r="G21" s="36">
        <v>2000.0</v>
      </c>
      <c r="H21" s="37"/>
    </row>
    <row r="22" ht="15.75" customHeight="1">
      <c r="A22" s="38"/>
      <c r="B22" s="55" t="s">
        <v>83</v>
      </c>
      <c r="C22" s="56"/>
      <c r="D22" s="40">
        <v>700.0</v>
      </c>
      <c r="E22" s="40">
        <v>700.0</v>
      </c>
      <c r="F22" s="40">
        <v>900.0</v>
      </c>
      <c r="G22" s="40">
        <v>1200.0</v>
      </c>
      <c r="H22" s="41"/>
    </row>
    <row r="23" ht="15.75" customHeight="1">
      <c r="A23" s="38"/>
      <c r="B23" s="55" t="s">
        <v>84</v>
      </c>
      <c r="C23" s="56"/>
      <c r="D23" s="40" t="s">
        <v>85</v>
      </c>
      <c r="E23" s="40" t="s">
        <v>85</v>
      </c>
      <c r="F23" s="40" t="s">
        <v>85</v>
      </c>
      <c r="G23" s="40" t="s">
        <v>86</v>
      </c>
      <c r="H23" s="41"/>
    </row>
    <row r="24" ht="15.75" customHeight="1">
      <c r="A24" s="42"/>
      <c r="B24" s="57" t="s">
        <v>87</v>
      </c>
      <c r="C24" s="58"/>
      <c r="D24" s="59"/>
      <c r="E24" s="59"/>
      <c r="F24" s="59"/>
      <c r="G24" s="59"/>
      <c r="H24" s="60"/>
    </row>
    <row r="25" ht="15.75" customHeight="1">
      <c r="A25" s="50" t="s">
        <v>88</v>
      </c>
      <c r="B25" s="51"/>
      <c r="C25" s="37" t="s">
        <v>89</v>
      </c>
      <c r="D25" s="36" t="s">
        <v>90</v>
      </c>
      <c r="E25" s="36" t="s">
        <v>90</v>
      </c>
      <c r="F25" s="36" t="s">
        <v>91</v>
      </c>
      <c r="G25" s="36" t="s">
        <v>91</v>
      </c>
      <c r="H25" s="37"/>
    </row>
    <row r="26" ht="15.75" customHeight="1">
      <c r="A26" s="38"/>
      <c r="B26" s="55"/>
      <c r="C26" s="41" t="s">
        <v>92</v>
      </c>
      <c r="D26" s="40">
        <v>48.0</v>
      </c>
      <c r="E26" s="40">
        <v>48.0</v>
      </c>
      <c r="F26" s="40">
        <v>48.0</v>
      </c>
      <c r="G26" s="40">
        <v>60.0</v>
      </c>
      <c r="H26" s="41"/>
    </row>
    <row r="27" ht="15.75" customHeight="1">
      <c r="A27" s="38"/>
      <c r="B27" s="55"/>
      <c r="C27" s="41" t="s">
        <v>93</v>
      </c>
      <c r="D27" s="40">
        <v>48.0</v>
      </c>
      <c r="E27" s="40">
        <v>48.0</v>
      </c>
      <c r="F27" s="40">
        <v>48.0</v>
      </c>
      <c r="G27" s="40">
        <v>60.0</v>
      </c>
      <c r="H27" s="41"/>
    </row>
    <row r="28" ht="15.75" customHeight="1">
      <c r="A28" s="38"/>
      <c r="B28" s="55"/>
      <c r="C28" s="41" t="s">
        <v>94</v>
      </c>
      <c r="D28" s="40" t="s">
        <v>95</v>
      </c>
      <c r="E28" s="40" t="s">
        <v>96</v>
      </c>
      <c r="F28" s="40" t="s">
        <v>96</v>
      </c>
      <c r="G28" s="40" t="s">
        <v>97</v>
      </c>
      <c r="H28" s="41"/>
    </row>
    <row r="29" ht="15.75" customHeight="1">
      <c r="A29" s="42"/>
      <c r="B29" s="57"/>
      <c r="C29" s="48" t="s">
        <v>98</v>
      </c>
      <c r="D29" s="47">
        <v>42.0</v>
      </c>
      <c r="E29" s="47">
        <v>54.0</v>
      </c>
      <c r="F29" s="47">
        <v>66.0</v>
      </c>
      <c r="G29" s="47">
        <v>78.0</v>
      </c>
      <c r="H29" s="48"/>
    </row>
    <row r="30" ht="15.75" customHeight="1">
      <c r="A30" s="33" t="s">
        <v>99</v>
      </c>
      <c r="B30" s="51"/>
      <c r="C30" s="37" t="s">
        <v>100</v>
      </c>
      <c r="D30" s="36"/>
      <c r="E30" s="36"/>
      <c r="F30" s="36"/>
      <c r="G30" s="36"/>
      <c r="H30" s="37"/>
    </row>
    <row r="31" ht="15.75" customHeight="1">
      <c r="A31" s="38"/>
      <c r="B31" s="55"/>
      <c r="C31" s="41" t="s">
        <v>101</v>
      </c>
      <c r="D31" s="40" t="s">
        <v>102</v>
      </c>
      <c r="E31" s="40" t="s">
        <v>102</v>
      </c>
      <c r="F31" s="40" t="s">
        <v>103</v>
      </c>
      <c r="G31" s="40" t="s">
        <v>103</v>
      </c>
      <c r="H31" s="41"/>
    </row>
    <row r="32" ht="15.75" customHeight="1">
      <c r="A32" s="38"/>
      <c r="B32" s="55"/>
      <c r="C32" s="41" t="s">
        <v>104</v>
      </c>
      <c r="D32" s="40" t="s">
        <v>105</v>
      </c>
      <c r="E32" s="40" t="s">
        <v>105</v>
      </c>
      <c r="F32" s="40" t="s">
        <v>105</v>
      </c>
      <c r="G32" s="40" t="s">
        <v>105</v>
      </c>
      <c r="H32" s="41"/>
    </row>
    <row r="33" ht="15.75" customHeight="1">
      <c r="A33" s="38"/>
      <c r="B33" s="55"/>
      <c r="C33" s="41" t="s">
        <v>106</v>
      </c>
      <c r="D33" s="40" t="s">
        <v>107</v>
      </c>
      <c r="E33" s="40" t="s">
        <v>107</v>
      </c>
      <c r="F33" s="40" t="s">
        <v>107</v>
      </c>
      <c r="G33" s="40" t="s">
        <v>107</v>
      </c>
      <c r="H33" s="41"/>
    </row>
    <row r="34" ht="15.75" customHeight="1">
      <c r="A34" s="38"/>
      <c r="B34" s="55"/>
      <c r="C34" s="41" t="s">
        <v>108</v>
      </c>
      <c r="D34" s="40" t="s">
        <v>107</v>
      </c>
      <c r="E34" s="40" t="s">
        <v>107</v>
      </c>
      <c r="F34" s="40" t="s">
        <v>107</v>
      </c>
      <c r="G34" s="40" t="s">
        <v>107</v>
      </c>
      <c r="H34" s="41"/>
    </row>
    <row r="35" ht="15.75" customHeight="1">
      <c r="A35" s="38"/>
      <c r="B35" s="55"/>
      <c r="C35" s="41" t="s">
        <v>109</v>
      </c>
      <c r="D35" s="40" t="s">
        <v>110</v>
      </c>
      <c r="E35" s="40" t="s">
        <v>111</v>
      </c>
      <c r="F35" s="40" t="s">
        <v>111</v>
      </c>
      <c r="G35" s="40" t="s">
        <v>111</v>
      </c>
      <c r="H35" s="41"/>
    </row>
    <row r="36" ht="15.75" customHeight="1">
      <c r="A36" s="38"/>
      <c r="B36" s="55"/>
      <c r="C36" s="41" t="s">
        <v>112</v>
      </c>
      <c r="D36" s="40" t="s">
        <v>113</v>
      </c>
      <c r="E36" s="40" t="s">
        <v>114</v>
      </c>
      <c r="F36" s="40" t="s">
        <v>114</v>
      </c>
      <c r="G36" s="40" t="s">
        <v>114</v>
      </c>
      <c r="H36" s="41"/>
    </row>
    <row r="37" ht="15.75" customHeight="1">
      <c r="A37" s="42"/>
      <c r="B37" s="57"/>
      <c r="C37" s="48" t="s">
        <v>115</v>
      </c>
      <c r="D37" s="47" t="s">
        <v>116</v>
      </c>
      <c r="E37" s="47" t="s">
        <v>116</v>
      </c>
      <c r="F37" s="47" t="s">
        <v>116</v>
      </c>
      <c r="G37" s="47" t="s">
        <v>116</v>
      </c>
      <c r="H37" s="48"/>
    </row>
    <row r="38" ht="15.75" customHeight="1">
      <c r="A38" s="33" t="s">
        <v>117</v>
      </c>
      <c r="B38" s="55"/>
      <c r="C38" s="41" t="s">
        <v>118</v>
      </c>
      <c r="D38" s="61">
        <v>45779.0</v>
      </c>
      <c r="E38" s="40">
        <v>3.0</v>
      </c>
      <c r="F38" s="40">
        <v>4.0</v>
      </c>
      <c r="G38" s="40">
        <v>5.0</v>
      </c>
      <c r="H38" s="41"/>
    </row>
    <row r="39" ht="15.75" customHeight="1">
      <c r="A39" s="38"/>
      <c r="B39" s="55"/>
      <c r="C39" s="41" t="s">
        <v>119</v>
      </c>
      <c r="D39" s="40">
        <v>46.0</v>
      </c>
      <c r="E39" s="40">
        <v>54.0</v>
      </c>
      <c r="F39" s="40">
        <v>72.0</v>
      </c>
      <c r="G39" s="40">
        <v>100.0</v>
      </c>
      <c r="H39" s="41"/>
    </row>
    <row r="40" ht="15.75" customHeight="1">
      <c r="A40" s="38"/>
      <c r="B40" s="55"/>
      <c r="C40" s="41" t="s">
        <v>120</v>
      </c>
      <c r="D40" s="40">
        <v>1000.0</v>
      </c>
      <c r="E40" s="40">
        <v>1200.0</v>
      </c>
      <c r="F40" s="40">
        <v>1800.0</v>
      </c>
      <c r="G40" s="40">
        <v>2400.0</v>
      </c>
      <c r="H40" s="41"/>
    </row>
    <row r="41" ht="15.75" customHeight="1">
      <c r="A41" s="42"/>
      <c r="B41" s="57"/>
      <c r="C41" s="48" t="s">
        <v>121</v>
      </c>
      <c r="D41" s="47">
        <v>1.0</v>
      </c>
      <c r="E41" s="49">
        <v>45778.0</v>
      </c>
      <c r="F41" s="49">
        <v>45779.0</v>
      </c>
      <c r="G41" s="47">
        <v>3.0</v>
      </c>
      <c r="H41" s="48"/>
    </row>
    <row r="42" ht="15.75" customHeight="1">
      <c r="A42" s="40"/>
      <c r="B42" s="40"/>
      <c r="C42" s="40"/>
      <c r="D42" s="62"/>
      <c r="E42" s="62"/>
      <c r="F42" s="63"/>
      <c r="G42" s="63"/>
      <c r="H42" s="63"/>
    </row>
    <row r="43" ht="15.75" customHeight="1">
      <c r="A43" s="40"/>
      <c r="B43" s="40"/>
      <c r="C43" s="40"/>
      <c r="D43" s="63"/>
      <c r="E43" s="62"/>
      <c r="F43" s="63"/>
      <c r="G43" s="63"/>
      <c r="H43" s="63"/>
    </row>
    <row r="44" ht="15.75" customHeight="1">
      <c r="A44" s="40"/>
      <c r="B44" s="40"/>
      <c r="C44" s="40"/>
      <c r="D44" s="63"/>
      <c r="E44" s="63"/>
      <c r="F44" s="62"/>
      <c r="G44" s="63"/>
      <c r="H44" s="63"/>
    </row>
    <row r="45" ht="15.75" customHeight="1">
      <c r="A45" s="40"/>
      <c r="B45" s="40"/>
      <c r="C45" s="40"/>
      <c r="D45" s="63"/>
      <c r="E45" s="63"/>
      <c r="F45" s="63"/>
      <c r="G45" s="62"/>
      <c r="H45" s="62"/>
    </row>
    <row r="46" ht="15.75" customHeight="1">
      <c r="A46" s="40"/>
      <c r="B46" s="40"/>
      <c r="C46" s="40"/>
      <c r="D46" s="63"/>
      <c r="E46" s="63"/>
      <c r="F46" s="63"/>
      <c r="G46" s="62"/>
      <c r="H46" s="62"/>
    </row>
    <row r="47" ht="15.75" customHeight="1">
      <c r="A47" s="40"/>
      <c r="B47" s="40"/>
      <c r="C47" s="40"/>
      <c r="D47" s="62"/>
      <c r="E47" s="62"/>
      <c r="F47" s="63"/>
      <c r="G47" s="63"/>
      <c r="H47" s="63"/>
    </row>
    <row r="48" ht="15.75" customHeight="1">
      <c r="A48" s="40"/>
      <c r="B48" s="40"/>
      <c r="C48" s="40"/>
      <c r="D48" s="63"/>
      <c r="E48" s="62"/>
      <c r="F48" s="63"/>
      <c r="G48" s="63"/>
      <c r="H48" s="63"/>
    </row>
    <row r="49" ht="15.75" customHeight="1">
      <c r="A49" s="40"/>
      <c r="B49" s="40"/>
      <c r="C49" s="40"/>
      <c r="D49" s="63"/>
      <c r="E49" s="63"/>
      <c r="F49" s="62"/>
      <c r="G49" s="63"/>
      <c r="H49" s="63"/>
    </row>
    <row r="50" ht="15.75" customHeight="1">
      <c r="A50" s="40"/>
      <c r="B50" s="40"/>
      <c r="C50" s="40"/>
      <c r="D50" s="63"/>
      <c r="E50" s="63"/>
      <c r="F50" s="63"/>
      <c r="G50" s="62"/>
      <c r="H50" s="62"/>
    </row>
    <row r="51" ht="15.75" customHeight="1">
      <c r="A51" s="40"/>
      <c r="B51" s="40"/>
      <c r="C51" s="40"/>
      <c r="D51" s="63"/>
      <c r="E51" s="63"/>
      <c r="F51" s="63"/>
      <c r="G51" s="62"/>
      <c r="H51" s="62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C1"/>
    <mergeCell ref="A2:A7"/>
    <mergeCell ref="B2:B4"/>
    <mergeCell ref="B5:B7"/>
    <mergeCell ref="A8:A11"/>
    <mergeCell ref="B8:B11"/>
    <mergeCell ref="B12:B15"/>
    <mergeCell ref="A21:A24"/>
    <mergeCell ref="A25:A29"/>
    <mergeCell ref="A30:A37"/>
    <mergeCell ref="A38:A41"/>
    <mergeCell ref="A12:A15"/>
    <mergeCell ref="A16:A20"/>
    <mergeCell ref="B16:B20"/>
    <mergeCell ref="B21:C21"/>
    <mergeCell ref="B22:C22"/>
    <mergeCell ref="B23:C23"/>
    <mergeCell ref="B24:C24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4" t="s">
        <v>122</v>
      </c>
      <c r="B1" s="65" t="s">
        <v>123</v>
      </c>
      <c r="C1" s="65" t="s">
        <v>124</v>
      </c>
      <c r="D1" s="65" t="s">
        <v>125</v>
      </c>
      <c r="E1" s="65" t="s">
        <v>126</v>
      </c>
      <c r="F1" s="65" t="s">
        <v>3</v>
      </c>
      <c r="G1" s="65" t="s">
        <v>4</v>
      </c>
      <c r="H1" s="65" t="s">
        <v>61</v>
      </c>
      <c r="I1" s="65" t="s">
        <v>6</v>
      </c>
      <c r="J1" s="65" t="s">
        <v>7</v>
      </c>
      <c r="K1" s="65" t="s">
        <v>127</v>
      </c>
    </row>
    <row r="2" ht="15.75" customHeight="1">
      <c r="A2" s="66" t="s">
        <v>128</v>
      </c>
      <c r="B2" s="67" t="s">
        <v>129</v>
      </c>
      <c r="C2" s="68" t="s">
        <v>130</v>
      </c>
      <c r="D2" s="68" t="s">
        <v>131</v>
      </c>
      <c r="E2" s="68" t="s">
        <v>132</v>
      </c>
      <c r="F2" s="68">
        <v>0.0089775</v>
      </c>
      <c r="G2" s="68">
        <v>0.01944</v>
      </c>
      <c r="H2" s="68">
        <v>0.0293625</v>
      </c>
      <c r="I2" s="68">
        <v>0.08505</v>
      </c>
      <c r="J2" s="68">
        <v>0.1063125</v>
      </c>
      <c r="K2" s="68" t="s">
        <v>133</v>
      </c>
    </row>
    <row r="3" ht="15.75" customHeight="1">
      <c r="A3" s="69"/>
      <c r="B3" s="70"/>
      <c r="C3" s="71" t="s">
        <v>134</v>
      </c>
      <c r="D3" s="71" t="s">
        <v>135</v>
      </c>
      <c r="E3" s="71" t="s">
        <v>55</v>
      </c>
      <c r="F3" s="71"/>
      <c r="G3" s="71"/>
      <c r="H3" s="71"/>
      <c r="I3" s="71"/>
      <c r="J3" s="71"/>
      <c r="K3" s="71" t="s">
        <v>133</v>
      </c>
    </row>
    <row r="4" ht="15.75" customHeight="1">
      <c r="A4" s="69"/>
      <c r="B4" s="72" t="s">
        <v>136</v>
      </c>
      <c r="C4" s="68" t="s">
        <v>137</v>
      </c>
      <c r="D4" s="68" t="s">
        <v>138</v>
      </c>
      <c r="E4" s="68" t="s">
        <v>139</v>
      </c>
      <c r="F4" s="68">
        <v>2.5</v>
      </c>
      <c r="G4" s="68">
        <v>3.0</v>
      </c>
      <c r="H4" s="68">
        <v>4.0</v>
      </c>
      <c r="I4" s="68">
        <v>5.0</v>
      </c>
      <c r="J4" s="68">
        <v>7.0</v>
      </c>
      <c r="K4" s="68" t="s">
        <v>140</v>
      </c>
    </row>
    <row r="5" ht="15.75" customHeight="1">
      <c r="A5" s="69"/>
      <c r="B5" s="73"/>
      <c r="C5" s="74"/>
      <c r="D5" s="74"/>
      <c r="E5" s="68" t="s">
        <v>141</v>
      </c>
      <c r="F5" s="68">
        <v>2.5</v>
      </c>
      <c r="G5" s="68">
        <v>3.0</v>
      </c>
      <c r="H5" s="68">
        <v>4.0</v>
      </c>
      <c r="I5" s="68">
        <v>5.0</v>
      </c>
      <c r="J5" s="68">
        <v>7.0</v>
      </c>
      <c r="K5" s="68" t="s">
        <v>140</v>
      </c>
    </row>
    <row r="6" ht="15.75" customHeight="1">
      <c r="A6" s="69"/>
      <c r="B6" s="73"/>
      <c r="C6" s="74"/>
      <c r="D6" s="74"/>
      <c r="E6" s="68" t="s">
        <v>142</v>
      </c>
      <c r="F6" s="68">
        <v>2.5</v>
      </c>
      <c r="G6" s="68">
        <v>3.0</v>
      </c>
      <c r="H6" s="68">
        <v>4.0</v>
      </c>
      <c r="I6" s="68">
        <v>5.0</v>
      </c>
      <c r="J6" s="68">
        <v>7.0</v>
      </c>
      <c r="K6" s="68" t="s">
        <v>140</v>
      </c>
    </row>
    <row r="7" ht="15.75" customHeight="1">
      <c r="A7" s="69"/>
      <c r="B7" s="73"/>
      <c r="C7" s="74"/>
      <c r="D7" s="74"/>
      <c r="E7" s="68" t="s">
        <v>143</v>
      </c>
      <c r="F7" s="68"/>
      <c r="G7" s="68"/>
      <c r="H7" s="68"/>
      <c r="I7" s="68"/>
      <c r="J7" s="68"/>
      <c r="K7" s="68" t="s">
        <v>144</v>
      </c>
    </row>
    <row r="8" ht="15.75" customHeight="1">
      <c r="A8" s="69"/>
      <c r="B8" s="73"/>
      <c r="C8" s="71" t="s">
        <v>145</v>
      </c>
      <c r="D8" s="71" t="s">
        <v>146</v>
      </c>
      <c r="E8" s="75" t="s">
        <v>147</v>
      </c>
      <c r="F8" s="75"/>
      <c r="G8" s="75"/>
      <c r="H8" s="75"/>
      <c r="I8" s="75"/>
      <c r="J8" s="75"/>
      <c r="K8" s="71" t="s">
        <v>140</v>
      </c>
    </row>
    <row r="9" ht="15.75" customHeight="1">
      <c r="A9" s="69"/>
      <c r="B9" s="73"/>
      <c r="C9" s="76"/>
      <c r="D9" s="76"/>
      <c r="E9" s="71" t="s">
        <v>148</v>
      </c>
      <c r="F9" s="71"/>
      <c r="G9" s="71"/>
      <c r="H9" s="71"/>
      <c r="I9" s="71"/>
      <c r="J9" s="71"/>
      <c r="K9" s="71" t="s">
        <v>140</v>
      </c>
    </row>
    <row r="10" ht="15.75" customHeight="1">
      <c r="A10" s="69"/>
      <c r="B10" s="73"/>
      <c r="C10" s="76"/>
      <c r="D10" s="76"/>
      <c r="E10" s="71" t="s">
        <v>149</v>
      </c>
      <c r="F10" s="71"/>
      <c r="G10" s="71"/>
      <c r="H10" s="71"/>
      <c r="I10" s="71"/>
      <c r="J10" s="71"/>
      <c r="K10" s="71" t="s">
        <v>140</v>
      </c>
    </row>
    <row r="11" ht="15.75" customHeight="1">
      <c r="A11" s="69"/>
      <c r="B11" s="67" t="s">
        <v>150</v>
      </c>
      <c r="C11" s="68" t="s">
        <v>151</v>
      </c>
      <c r="D11" s="68" t="s">
        <v>152</v>
      </c>
      <c r="E11" s="68" t="s">
        <v>153</v>
      </c>
      <c r="F11" s="68"/>
      <c r="G11" s="68"/>
      <c r="H11" s="68"/>
      <c r="I11" s="68"/>
      <c r="J11" s="68"/>
      <c r="K11" s="68" t="s">
        <v>140</v>
      </c>
    </row>
    <row r="12" ht="15.75" customHeight="1">
      <c r="A12" s="69"/>
      <c r="B12" s="70"/>
      <c r="C12" s="74"/>
      <c r="D12" s="74"/>
      <c r="E12" s="68" t="s">
        <v>154</v>
      </c>
      <c r="F12" s="68"/>
      <c r="G12" s="68"/>
      <c r="H12" s="68"/>
      <c r="I12" s="68"/>
      <c r="J12" s="68"/>
      <c r="K12" s="68" t="s">
        <v>144</v>
      </c>
    </row>
    <row r="13" ht="15.75" customHeight="1">
      <c r="A13" s="69"/>
      <c r="B13" s="70"/>
      <c r="C13" s="77" t="s">
        <v>155</v>
      </c>
      <c r="D13" s="77" t="s">
        <v>156</v>
      </c>
      <c r="E13" s="77" t="s">
        <v>157</v>
      </c>
      <c r="F13" s="77"/>
      <c r="G13" s="77"/>
      <c r="H13" s="77"/>
      <c r="I13" s="77"/>
      <c r="J13" s="77"/>
      <c r="K13" s="77" t="s">
        <v>140</v>
      </c>
    </row>
    <row r="14" ht="15.75" customHeight="1">
      <c r="A14" s="69"/>
      <c r="B14" s="70"/>
      <c r="C14" s="68" t="s">
        <v>145</v>
      </c>
      <c r="D14" s="68" t="s">
        <v>146</v>
      </c>
      <c r="E14" s="68" t="s">
        <v>147</v>
      </c>
      <c r="F14" s="68"/>
      <c r="G14" s="68"/>
      <c r="H14" s="68"/>
      <c r="I14" s="68"/>
      <c r="J14" s="68"/>
      <c r="K14" s="68" t="s">
        <v>140</v>
      </c>
    </row>
    <row r="15" ht="15.75" customHeight="1">
      <c r="A15" s="69"/>
      <c r="B15" s="70"/>
      <c r="C15" s="74"/>
      <c r="D15" s="74"/>
      <c r="E15" s="68" t="s">
        <v>148</v>
      </c>
      <c r="F15" s="68"/>
      <c r="G15" s="68"/>
      <c r="H15" s="68"/>
      <c r="I15" s="68"/>
      <c r="J15" s="68"/>
      <c r="K15" s="68" t="s">
        <v>140</v>
      </c>
    </row>
    <row r="16" ht="15.75" customHeight="1">
      <c r="A16" s="69"/>
      <c r="B16" s="70"/>
      <c r="C16" s="74"/>
      <c r="D16" s="74"/>
      <c r="E16" s="68" t="s">
        <v>149</v>
      </c>
      <c r="F16" s="68"/>
      <c r="G16" s="68"/>
      <c r="H16" s="68"/>
      <c r="I16" s="68"/>
      <c r="J16" s="68"/>
      <c r="K16" s="68" t="s">
        <v>140</v>
      </c>
    </row>
    <row r="17" ht="15.75" customHeight="1">
      <c r="A17" s="69"/>
      <c r="B17" s="72" t="s">
        <v>158</v>
      </c>
      <c r="C17" s="78"/>
      <c r="D17" s="78"/>
      <c r="E17" s="78"/>
      <c r="F17" s="78"/>
      <c r="G17" s="78"/>
      <c r="H17" s="78"/>
      <c r="I17" s="78"/>
      <c r="J17" s="78"/>
      <c r="K17" s="78"/>
    </row>
    <row r="18" ht="15.75" customHeight="1">
      <c r="A18" s="69"/>
      <c r="B18" s="67" t="s">
        <v>159</v>
      </c>
      <c r="C18" s="77" t="s">
        <v>160</v>
      </c>
      <c r="D18" s="77" t="s">
        <v>161</v>
      </c>
      <c r="E18" s="77" t="s">
        <v>55</v>
      </c>
      <c r="F18" s="77"/>
      <c r="G18" s="77"/>
      <c r="H18" s="77"/>
      <c r="I18" s="77"/>
      <c r="J18" s="77"/>
      <c r="K18" s="77" t="s">
        <v>133</v>
      </c>
    </row>
    <row r="19" ht="15.75" customHeight="1">
      <c r="A19" s="69"/>
      <c r="B19" s="70"/>
      <c r="C19" s="77" t="s">
        <v>162</v>
      </c>
      <c r="D19" s="77" t="s">
        <v>163</v>
      </c>
      <c r="E19" s="77" t="s">
        <v>164</v>
      </c>
      <c r="F19" s="77"/>
      <c r="G19" s="77"/>
      <c r="H19" s="77"/>
      <c r="I19" s="77"/>
      <c r="J19" s="77"/>
      <c r="K19" s="77" t="s">
        <v>140</v>
      </c>
    </row>
    <row r="20" ht="15.75" customHeight="1">
      <c r="A20" s="69"/>
      <c r="B20" s="70"/>
      <c r="C20" s="78"/>
      <c r="D20" s="78"/>
      <c r="E20" s="77" t="s">
        <v>165</v>
      </c>
      <c r="F20" s="77"/>
      <c r="G20" s="77"/>
      <c r="H20" s="77"/>
      <c r="I20" s="77"/>
      <c r="J20" s="77"/>
      <c r="K20" s="77" t="s">
        <v>140</v>
      </c>
    </row>
    <row r="21" ht="15.75" customHeight="1">
      <c r="A21" s="69"/>
      <c r="B21" s="72" t="s">
        <v>166</v>
      </c>
      <c r="C21" s="77" t="s">
        <v>167</v>
      </c>
      <c r="D21" s="77" t="s">
        <v>168</v>
      </c>
      <c r="E21" s="77" t="s">
        <v>164</v>
      </c>
      <c r="F21" s="77"/>
      <c r="G21" s="77"/>
      <c r="H21" s="77"/>
      <c r="I21" s="77"/>
      <c r="J21" s="77"/>
      <c r="K21" s="77" t="s">
        <v>140</v>
      </c>
    </row>
    <row r="22" ht="15.75" customHeight="1">
      <c r="A22" s="69"/>
      <c r="B22" s="73"/>
      <c r="C22" s="77" t="s">
        <v>169</v>
      </c>
      <c r="D22" s="77" t="s">
        <v>170</v>
      </c>
      <c r="E22" s="77" t="s">
        <v>164</v>
      </c>
      <c r="F22" s="77"/>
      <c r="G22" s="77"/>
      <c r="H22" s="77"/>
      <c r="I22" s="77"/>
      <c r="J22" s="77"/>
      <c r="K22" s="77" t="s">
        <v>140</v>
      </c>
    </row>
    <row r="23" ht="15.75" customHeight="1">
      <c r="A23" s="69"/>
      <c r="B23" s="67" t="s">
        <v>171</v>
      </c>
      <c r="C23" s="77" t="s">
        <v>172</v>
      </c>
      <c r="D23" s="77" t="s">
        <v>173</v>
      </c>
      <c r="E23" s="77" t="s">
        <v>174</v>
      </c>
      <c r="F23" s="77"/>
      <c r="G23" s="77"/>
      <c r="H23" s="77"/>
      <c r="I23" s="77"/>
      <c r="J23" s="77"/>
      <c r="K23" s="77" t="s">
        <v>140</v>
      </c>
    </row>
    <row r="24" ht="15.75" customHeight="1">
      <c r="A24" s="69"/>
      <c r="B24" s="70"/>
      <c r="C24" s="78"/>
      <c r="D24" s="78"/>
      <c r="E24" s="77" t="s">
        <v>175</v>
      </c>
      <c r="F24" s="77"/>
      <c r="G24" s="77"/>
      <c r="H24" s="77"/>
      <c r="I24" s="77"/>
      <c r="J24" s="77"/>
      <c r="K24" s="77" t="s">
        <v>140</v>
      </c>
    </row>
    <row r="25" ht="15.75" customHeight="1">
      <c r="A25" s="69"/>
      <c r="B25" s="70"/>
      <c r="C25" s="77" t="s">
        <v>176</v>
      </c>
      <c r="D25" s="77" t="s">
        <v>177</v>
      </c>
      <c r="E25" s="77" t="s">
        <v>153</v>
      </c>
      <c r="F25" s="77"/>
      <c r="G25" s="77"/>
      <c r="H25" s="77"/>
      <c r="I25" s="77"/>
      <c r="J25" s="77"/>
      <c r="K25" s="77" t="s">
        <v>140</v>
      </c>
    </row>
    <row r="26" ht="15.75" customHeight="1">
      <c r="A26" s="69"/>
      <c r="B26" s="70"/>
      <c r="C26" s="78"/>
      <c r="D26" s="78"/>
      <c r="E26" s="77" t="s">
        <v>175</v>
      </c>
      <c r="F26" s="77"/>
      <c r="G26" s="77"/>
      <c r="H26" s="77"/>
      <c r="I26" s="77"/>
      <c r="J26" s="77"/>
      <c r="K26" s="77" t="s">
        <v>140</v>
      </c>
    </row>
    <row r="27" ht="15.75" customHeight="1">
      <c r="A27" s="69"/>
      <c r="B27" s="70"/>
      <c r="C27" s="78"/>
      <c r="D27" s="78"/>
      <c r="E27" s="77" t="s">
        <v>154</v>
      </c>
      <c r="F27" s="77"/>
      <c r="G27" s="77"/>
      <c r="H27" s="77"/>
      <c r="I27" s="77"/>
      <c r="J27" s="77"/>
      <c r="K27" s="77" t="s">
        <v>144</v>
      </c>
    </row>
    <row r="28" ht="15.75" customHeight="1">
      <c r="A28" s="69"/>
      <c r="B28" s="72" t="s">
        <v>178</v>
      </c>
      <c r="C28" s="77" t="s">
        <v>179</v>
      </c>
      <c r="D28" s="77" t="s">
        <v>180</v>
      </c>
      <c r="E28" s="77" t="s">
        <v>55</v>
      </c>
      <c r="F28" s="77"/>
      <c r="G28" s="77"/>
      <c r="H28" s="77"/>
      <c r="I28" s="77"/>
      <c r="J28" s="77"/>
      <c r="K28" s="77" t="s">
        <v>133</v>
      </c>
    </row>
    <row r="29" ht="15.75" customHeight="1">
      <c r="A29" s="69"/>
      <c r="B29" s="73"/>
      <c r="C29" s="78"/>
      <c r="D29" s="78"/>
      <c r="E29" s="77" t="s">
        <v>181</v>
      </c>
      <c r="F29" s="77"/>
      <c r="G29" s="77"/>
      <c r="H29" s="77"/>
      <c r="I29" s="77"/>
      <c r="J29" s="77"/>
      <c r="K29" s="77" t="s">
        <v>140</v>
      </c>
    </row>
    <row r="30" ht="15.75" customHeight="1">
      <c r="A30" s="69"/>
      <c r="B30" s="73"/>
      <c r="C30" s="77" t="s">
        <v>182</v>
      </c>
      <c r="D30" s="77" t="s">
        <v>183</v>
      </c>
      <c r="E30" s="77" t="s">
        <v>55</v>
      </c>
      <c r="F30" s="77"/>
      <c r="G30" s="77"/>
      <c r="H30" s="77"/>
      <c r="I30" s="77"/>
      <c r="J30" s="77"/>
      <c r="K30" s="77" t="s">
        <v>133</v>
      </c>
    </row>
    <row r="31" ht="15.75" customHeight="1">
      <c r="A31" s="69"/>
      <c r="B31" s="67" t="s">
        <v>184</v>
      </c>
      <c r="C31" s="77" t="s">
        <v>185</v>
      </c>
      <c r="D31" s="77" t="s">
        <v>186</v>
      </c>
      <c r="E31" s="77" t="s">
        <v>187</v>
      </c>
      <c r="F31" s="77"/>
      <c r="G31" s="77"/>
      <c r="H31" s="77"/>
      <c r="I31" s="77"/>
      <c r="J31" s="77"/>
      <c r="K31" s="77" t="s">
        <v>188</v>
      </c>
    </row>
    <row r="32" ht="15.75" customHeight="1">
      <c r="A32" s="69"/>
      <c r="B32" s="70"/>
      <c r="C32" s="78"/>
      <c r="D32" s="78"/>
      <c r="E32" s="77" t="s">
        <v>189</v>
      </c>
      <c r="F32" s="77"/>
      <c r="G32" s="77"/>
      <c r="H32" s="77"/>
      <c r="I32" s="77"/>
      <c r="J32" s="77"/>
      <c r="K32" s="77" t="s">
        <v>188</v>
      </c>
    </row>
    <row r="33" ht="15.75" customHeight="1">
      <c r="A33" s="69"/>
      <c r="B33" s="70"/>
      <c r="C33" s="78"/>
      <c r="D33" s="78"/>
      <c r="E33" s="77" t="s">
        <v>190</v>
      </c>
      <c r="F33" s="77"/>
      <c r="G33" s="77"/>
      <c r="H33" s="77"/>
      <c r="I33" s="77"/>
      <c r="J33" s="77"/>
      <c r="K33" s="77" t="s">
        <v>188</v>
      </c>
    </row>
    <row r="34" ht="15.75" customHeight="1">
      <c r="A34" s="79"/>
      <c r="B34" s="79"/>
      <c r="C34" s="79"/>
      <c r="D34" s="79"/>
      <c r="E34" s="79"/>
      <c r="K34" s="79"/>
    </row>
    <row r="35" ht="15.75" customHeight="1">
      <c r="A35" s="80"/>
      <c r="B35" s="80"/>
      <c r="C35" s="80"/>
      <c r="D35" s="80"/>
      <c r="E35" s="80"/>
      <c r="K35" s="80"/>
    </row>
    <row r="36" ht="15.75" customHeight="1">
      <c r="A36" s="80"/>
      <c r="B36" s="80"/>
      <c r="C36" s="80"/>
      <c r="D36" s="80"/>
      <c r="E36" s="80"/>
      <c r="K36" s="80"/>
    </row>
    <row r="37" ht="15.75" customHeight="1">
      <c r="A37" s="80"/>
      <c r="B37" s="80"/>
      <c r="C37" s="80"/>
      <c r="D37" s="80"/>
      <c r="E37" s="80"/>
      <c r="K37" s="80"/>
    </row>
    <row r="38" ht="15.75" customHeight="1">
      <c r="A38" s="80"/>
      <c r="B38" s="80"/>
      <c r="C38" s="80"/>
      <c r="D38" s="80"/>
      <c r="E38" s="80"/>
      <c r="K38" s="80"/>
    </row>
    <row r="39" ht="15.75" customHeight="1">
      <c r="A39" s="80"/>
      <c r="B39" s="81"/>
      <c r="C39" s="80"/>
      <c r="D39" s="80"/>
      <c r="E39" s="80"/>
      <c r="K39" s="80"/>
    </row>
    <row r="40" ht="15.75" customHeight="1">
      <c r="A40" s="82"/>
      <c r="B40" s="82"/>
      <c r="C40" s="82"/>
      <c r="D40" s="82"/>
      <c r="E40" s="82"/>
      <c r="K40" s="82"/>
    </row>
    <row r="41" ht="15.75" customHeight="1">
      <c r="A41" s="82"/>
      <c r="B41" s="82"/>
      <c r="C41" s="82"/>
      <c r="D41" s="82"/>
      <c r="E41" s="82"/>
      <c r="K41" s="82"/>
    </row>
    <row r="42" ht="15.75" customHeight="1">
      <c r="A42" s="82"/>
      <c r="B42" s="82"/>
      <c r="C42" s="82"/>
      <c r="D42" s="82"/>
      <c r="E42" s="82"/>
      <c r="K42" s="82"/>
    </row>
    <row r="43" ht="15.75" customHeight="1">
      <c r="A43" s="82"/>
      <c r="B43" s="82"/>
      <c r="C43" s="82"/>
      <c r="D43" s="82"/>
      <c r="E43" s="82"/>
      <c r="K43" s="82"/>
    </row>
    <row r="44" ht="15.75" customHeight="1">
      <c r="A44" s="82"/>
      <c r="B44" s="82"/>
      <c r="C44" s="82"/>
      <c r="D44" s="82"/>
      <c r="E44" s="82"/>
      <c r="K44" s="82"/>
    </row>
    <row r="45" ht="15.75" customHeight="1">
      <c r="A45" s="82"/>
      <c r="B45" s="82"/>
      <c r="C45" s="82"/>
      <c r="D45" s="82"/>
      <c r="E45" s="82"/>
      <c r="K45" s="82"/>
    </row>
    <row r="46" ht="15.75" customHeight="1">
      <c r="A46" s="82"/>
      <c r="B46" s="82"/>
      <c r="C46" s="82"/>
      <c r="D46" s="82"/>
      <c r="E46" s="82"/>
      <c r="K46" s="82"/>
    </row>
    <row r="47" ht="15.75" customHeight="1">
      <c r="A47" s="82"/>
      <c r="B47" s="82"/>
      <c r="C47" s="82"/>
      <c r="D47" s="82"/>
      <c r="E47" s="82"/>
      <c r="K47" s="82"/>
    </row>
    <row r="48" ht="15.75" customHeight="1">
      <c r="A48" s="82"/>
      <c r="B48" s="82"/>
      <c r="C48" s="82"/>
      <c r="D48" s="82"/>
      <c r="E48" s="82"/>
      <c r="K48" s="82"/>
    </row>
    <row r="49" ht="15.75" customHeight="1">
      <c r="A49" s="82"/>
      <c r="B49" s="82"/>
      <c r="C49" s="82"/>
      <c r="D49" s="82"/>
      <c r="E49" s="82"/>
      <c r="K49" s="82"/>
    </row>
    <row r="50" ht="15.75" customHeight="1">
      <c r="A50" s="82"/>
      <c r="B50" s="82"/>
      <c r="C50" s="82"/>
      <c r="D50" s="82"/>
      <c r="E50" s="82"/>
      <c r="K50" s="82"/>
    </row>
    <row r="51" ht="15.75" customHeight="1">
      <c r="A51" s="82"/>
      <c r="B51" s="82"/>
      <c r="C51" s="82"/>
      <c r="D51" s="82"/>
      <c r="E51" s="82"/>
      <c r="K51" s="82"/>
    </row>
    <row r="52" ht="15.75" customHeight="1">
      <c r="A52" s="82"/>
      <c r="B52" s="82"/>
      <c r="C52" s="82"/>
      <c r="D52" s="82"/>
      <c r="E52" s="82"/>
      <c r="K52" s="82"/>
    </row>
    <row r="53" ht="15.75" customHeight="1">
      <c r="A53" s="82"/>
      <c r="B53" s="82"/>
      <c r="C53" s="82"/>
      <c r="D53" s="82"/>
      <c r="E53" s="82"/>
      <c r="K53" s="82"/>
    </row>
    <row r="54" ht="15.75" customHeight="1">
      <c r="A54" s="82"/>
      <c r="B54" s="82"/>
      <c r="C54" s="82"/>
      <c r="D54" s="82"/>
      <c r="E54" s="82"/>
      <c r="K54" s="82"/>
    </row>
    <row r="55" ht="15.75" customHeight="1">
      <c r="A55" s="82"/>
      <c r="B55" s="82"/>
      <c r="C55" s="82"/>
      <c r="D55" s="82"/>
      <c r="E55" s="82"/>
      <c r="K55" s="82"/>
    </row>
    <row r="56" ht="15.75" customHeight="1">
      <c r="A56" s="82"/>
      <c r="B56" s="82"/>
      <c r="C56" s="82"/>
      <c r="D56" s="82"/>
      <c r="E56" s="82"/>
      <c r="K56" s="82"/>
    </row>
    <row r="57" ht="15.75" customHeight="1">
      <c r="A57" s="82"/>
      <c r="B57" s="82"/>
      <c r="C57" s="82"/>
      <c r="D57" s="82"/>
      <c r="E57" s="82"/>
      <c r="K57" s="82"/>
    </row>
    <row r="58" ht="15.75" customHeight="1">
      <c r="A58" s="82"/>
      <c r="B58" s="82"/>
      <c r="C58" s="82"/>
      <c r="D58" s="82"/>
      <c r="E58" s="82"/>
      <c r="K58" s="82"/>
    </row>
    <row r="59" ht="15.75" customHeight="1">
      <c r="A59" s="82"/>
      <c r="B59" s="82"/>
      <c r="C59" s="82"/>
      <c r="D59" s="82"/>
      <c r="E59" s="82"/>
      <c r="K59" s="82"/>
    </row>
    <row r="60" ht="15.75" customHeight="1">
      <c r="A60" s="82"/>
      <c r="B60" s="82"/>
      <c r="C60" s="82"/>
      <c r="D60" s="82"/>
      <c r="E60" s="82"/>
      <c r="K60" s="82"/>
    </row>
    <row r="61" ht="15.75" customHeight="1">
      <c r="A61" s="82"/>
      <c r="B61" s="82"/>
      <c r="C61" s="82"/>
      <c r="D61" s="82"/>
      <c r="E61" s="82"/>
      <c r="K61" s="82"/>
    </row>
    <row r="62" ht="15.75" customHeight="1">
      <c r="A62" s="82"/>
      <c r="B62" s="82"/>
      <c r="C62" s="82"/>
      <c r="D62" s="82"/>
      <c r="E62" s="82"/>
      <c r="K62" s="82"/>
    </row>
    <row r="63" ht="15.75" customHeight="1">
      <c r="A63" s="82"/>
      <c r="B63" s="82"/>
      <c r="C63" s="82"/>
      <c r="D63" s="82"/>
      <c r="E63" s="82"/>
      <c r="K63" s="82"/>
    </row>
    <row r="64" ht="15.75" customHeight="1">
      <c r="A64" s="82"/>
      <c r="B64" s="82"/>
      <c r="C64" s="82"/>
      <c r="D64" s="82"/>
      <c r="E64" s="82"/>
      <c r="K64" s="82"/>
    </row>
    <row r="65" ht="15.75" customHeight="1">
      <c r="A65" s="82"/>
      <c r="B65" s="82"/>
      <c r="C65" s="82"/>
      <c r="D65" s="82"/>
      <c r="E65" s="82"/>
      <c r="K65" s="82"/>
    </row>
    <row r="66" ht="15.75" customHeight="1">
      <c r="A66" s="82"/>
      <c r="B66" s="82"/>
      <c r="C66" s="82"/>
      <c r="D66" s="82"/>
      <c r="E66" s="82"/>
      <c r="K66" s="82"/>
    </row>
    <row r="67" ht="15.75" customHeight="1">
      <c r="A67" s="82"/>
      <c r="B67" s="82"/>
      <c r="C67" s="82"/>
      <c r="D67" s="82"/>
      <c r="E67" s="82"/>
      <c r="K67" s="82"/>
    </row>
    <row r="68" ht="15.75" customHeight="1">
      <c r="A68" s="82"/>
      <c r="B68" s="82"/>
      <c r="C68" s="82"/>
      <c r="D68" s="82"/>
      <c r="E68" s="82"/>
      <c r="K68" s="82"/>
    </row>
    <row r="69" ht="15.75" customHeight="1">
      <c r="A69" s="82"/>
      <c r="B69" s="82"/>
      <c r="C69" s="82"/>
      <c r="D69" s="82"/>
      <c r="E69" s="82"/>
      <c r="K69" s="82"/>
    </row>
    <row r="70" ht="15.75" customHeight="1">
      <c r="A70" s="82"/>
      <c r="B70" s="82"/>
      <c r="C70" s="82"/>
      <c r="D70" s="82"/>
      <c r="E70" s="82"/>
      <c r="K70" s="82"/>
    </row>
    <row r="71" ht="15.75" customHeight="1">
      <c r="A71" s="82"/>
      <c r="B71" s="82"/>
      <c r="C71" s="82"/>
      <c r="D71" s="82"/>
      <c r="E71" s="82"/>
      <c r="K71" s="82"/>
    </row>
    <row r="72" ht="15.75" customHeight="1">
      <c r="A72" s="82"/>
      <c r="B72" s="82"/>
      <c r="C72" s="82"/>
      <c r="D72" s="82"/>
      <c r="E72" s="82"/>
      <c r="K72" s="82"/>
    </row>
    <row r="73" ht="15.75" customHeight="1">
      <c r="A73" s="82"/>
      <c r="B73" s="82"/>
      <c r="C73" s="82"/>
      <c r="D73" s="82"/>
      <c r="E73" s="82"/>
      <c r="K73" s="82"/>
    </row>
    <row r="74" ht="15.75" customHeight="1">
      <c r="A74" s="82"/>
      <c r="B74" s="82"/>
      <c r="C74" s="82"/>
      <c r="D74" s="82"/>
      <c r="E74" s="82"/>
      <c r="K74" s="82"/>
    </row>
    <row r="75" ht="15.75" customHeight="1">
      <c r="A75" s="82"/>
      <c r="B75" s="82"/>
      <c r="C75" s="82"/>
      <c r="D75" s="82"/>
      <c r="E75" s="82"/>
      <c r="K75" s="82"/>
    </row>
    <row r="76" ht="15.75" customHeight="1">
      <c r="A76" s="82"/>
      <c r="B76" s="82"/>
      <c r="C76" s="82"/>
      <c r="D76" s="82"/>
      <c r="E76" s="82"/>
      <c r="K76" s="82"/>
    </row>
    <row r="77" ht="15.75" customHeight="1">
      <c r="A77" s="82"/>
      <c r="B77" s="82"/>
      <c r="C77" s="82"/>
      <c r="D77" s="82"/>
      <c r="E77" s="82"/>
      <c r="K77" s="82"/>
    </row>
    <row r="78" ht="15.75" customHeight="1">
      <c r="A78" s="82"/>
      <c r="B78" s="82"/>
      <c r="C78" s="82"/>
      <c r="D78" s="82"/>
      <c r="E78" s="82"/>
      <c r="K78" s="82"/>
    </row>
    <row r="79" ht="15.75" customHeight="1">
      <c r="A79" s="82"/>
      <c r="B79" s="82"/>
      <c r="C79" s="82"/>
      <c r="D79" s="82"/>
      <c r="E79" s="82"/>
      <c r="K79" s="82"/>
    </row>
    <row r="80" ht="15.75" customHeight="1">
      <c r="A80" s="82"/>
      <c r="B80" s="82"/>
      <c r="C80" s="82"/>
      <c r="D80" s="82"/>
      <c r="E80" s="82"/>
      <c r="K80" s="82"/>
    </row>
    <row r="81" ht="15.75" customHeight="1">
      <c r="A81" s="82"/>
      <c r="B81" s="82"/>
      <c r="C81" s="82"/>
      <c r="D81" s="82"/>
      <c r="E81" s="82"/>
      <c r="K81" s="82"/>
    </row>
    <row r="82" ht="15.75" customHeight="1">
      <c r="A82" s="82"/>
      <c r="B82" s="82"/>
      <c r="C82" s="82"/>
      <c r="D82" s="82"/>
      <c r="E82" s="82"/>
      <c r="K82" s="82"/>
    </row>
    <row r="83" ht="15.75" customHeight="1">
      <c r="A83" s="82"/>
      <c r="B83" s="82"/>
      <c r="C83" s="82"/>
      <c r="D83" s="82"/>
      <c r="E83" s="82"/>
      <c r="K83" s="82"/>
    </row>
    <row r="84" ht="15.75" customHeight="1">
      <c r="A84" s="82"/>
      <c r="B84" s="82"/>
      <c r="C84" s="82"/>
      <c r="D84" s="82"/>
      <c r="E84" s="82"/>
      <c r="K84" s="82"/>
    </row>
    <row r="85" ht="15.75" customHeight="1">
      <c r="A85" s="82"/>
      <c r="B85" s="82"/>
      <c r="C85" s="82"/>
      <c r="D85" s="82"/>
      <c r="E85" s="82"/>
      <c r="K85" s="82"/>
    </row>
    <row r="86" ht="15.75" customHeight="1">
      <c r="A86" s="82"/>
      <c r="B86" s="82"/>
      <c r="C86" s="82"/>
      <c r="D86" s="82"/>
      <c r="E86" s="82"/>
      <c r="K86" s="82"/>
    </row>
    <row r="87" ht="15.75" customHeight="1">
      <c r="A87" s="82"/>
      <c r="B87" s="82"/>
      <c r="C87" s="82"/>
      <c r="D87" s="82"/>
      <c r="E87" s="82"/>
      <c r="K87" s="82"/>
    </row>
    <row r="88" ht="15.75" customHeight="1">
      <c r="A88" s="82"/>
      <c r="B88" s="82"/>
      <c r="C88" s="82"/>
      <c r="D88" s="82"/>
      <c r="E88" s="82"/>
      <c r="K88" s="82"/>
    </row>
    <row r="89" ht="15.75" customHeight="1">
      <c r="A89" s="82"/>
      <c r="B89" s="82"/>
      <c r="C89" s="82"/>
      <c r="D89" s="82"/>
      <c r="E89" s="82"/>
      <c r="K89" s="82"/>
    </row>
    <row r="90" ht="15.75" customHeight="1">
      <c r="A90" s="82"/>
      <c r="B90" s="82"/>
      <c r="C90" s="82"/>
      <c r="D90" s="82"/>
      <c r="E90" s="82"/>
      <c r="K90" s="82"/>
    </row>
    <row r="91" ht="15.75" customHeight="1">
      <c r="A91" s="82"/>
      <c r="B91" s="82"/>
      <c r="C91" s="82"/>
      <c r="D91" s="82"/>
      <c r="E91" s="82"/>
      <c r="K91" s="82"/>
    </row>
    <row r="92" ht="15.75" customHeight="1">
      <c r="A92" s="82"/>
      <c r="B92" s="82"/>
      <c r="C92" s="82"/>
      <c r="D92" s="82"/>
      <c r="E92" s="82"/>
      <c r="K92" s="82"/>
    </row>
    <row r="93" ht="15.75" customHeight="1">
      <c r="A93" s="82"/>
      <c r="B93" s="82"/>
      <c r="C93" s="82"/>
      <c r="D93" s="82"/>
      <c r="E93" s="82"/>
      <c r="K93" s="82"/>
    </row>
    <row r="94" ht="15.75" customHeight="1">
      <c r="A94" s="82"/>
      <c r="B94" s="82"/>
      <c r="C94" s="82"/>
      <c r="D94" s="82"/>
      <c r="E94" s="82"/>
      <c r="K94" s="82"/>
    </row>
    <row r="95" ht="15.75" customHeight="1">
      <c r="A95" s="82"/>
      <c r="B95" s="82"/>
      <c r="C95" s="82"/>
      <c r="D95" s="82"/>
      <c r="E95" s="82"/>
      <c r="K95" s="82"/>
    </row>
    <row r="96" ht="15.75" customHeight="1">
      <c r="A96" s="82"/>
      <c r="B96" s="82"/>
      <c r="C96" s="82"/>
      <c r="D96" s="82"/>
      <c r="E96" s="82"/>
      <c r="K96" s="82"/>
    </row>
    <row r="97" ht="15.75" customHeight="1">
      <c r="A97" s="82"/>
      <c r="B97" s="82"/>
      <c r="C97" s="82"/>
      <c r="D97" s="82"/>
      <c r="E97" s="82"/>
      <c r="K97" s="82"/>
    </row>
    <row r="98" ht="15.75" customHeight="1">
      <c r="A98" s="82"/>
      <c r="B98" s="82"/>
      <c r="C98" s="82"/>
      <c r="D98" s="82"/>
      <c r="E98" s="82"/>
      <c r="K98" s="82"/>
    </row>
    <row r="99" ht="15.75" customHeight="1">
      <c r="A99" s="82"/>
      <c r="B99" s="82"/>
      <c r="C99" s="82"/>
      <c r="D99" s="82"/>
      <c r="E99" s="82"/>
      <c r="K99" s="82"/>
    </row>
    <row r="100" ht="15.75" customHeight="1">
      <c r="A100" s="82"/>
      <c r="B100" s="82"/>
      <c r="C100" s="82"/>
      <c r="D100" s="82"/>
      <c r="E100" s="82"/>
      <c r="K100" s="82"/>
    </row>
    <row r="101" ht="15.75" customHeight="1">
      <c r="A101" s="82"/>
      <c r="B101" s="82"/>
      <c r="C101" s="82"/>
      <c r="D101" s="82"/>
      <c r="E101" s="82"/>
      <c r="K101" s="82"/>
    </row>
    <row r="102" ht="15.75" customHeight="1">
      <c r="A102" s="82"/>
      <c r="B102" s="82"/>
      <c r="C102" s="82"/>
      <c r="D102" s="82"/>
      <c r="E102" s="82"/>
      <c r="K102" s="82"/>
    </row>
    <row r="103" ht="15.75" customHeight="1">
      <c r="A103" s="82"/>
      <c r="B103" s="82"/>
      <c r="C103" s="82"/>
      <c r="D103" s="82"/>
      <c r="E103" s="82"/>
      <c r="K103" s="82"/>
    </row>
    <row r="104" ht="15.75" customHeight="1">
      <c r="A104" s="82"/>
      <c r="B104" s="82"/>
      <c r="C104" s="82"/>
      <c r="D104" s="82"/>
      <c r="E104" s="82"/>
      <c r="K104" s="82"/>
    </row>
    <row r="105" ht="15.75" customHeight="1">
      <c r="A105" s="82"/>
      <c r="B105" s="82"/>
      <c r="C105" s="82"/>
      <c r="D105" s="82"/>
      <c r="E105" s="82"/>
      <c r="K105" s="82"/>
    </row>
    <row r="106" ht="15.75" customHeight="1">
      <c r="A106" s="82"/>
      <c r="B106" s="82"/>
      <c r="C106" s="82"/>
      <c r="D106" s="82"/>
      <c r="E106" s="82"/>
      <c r="K106" s="82"/>
    </row>
    <row r="107" ht="15.75" customHeight="1">
      <c r="A107" s="82"/>
      <c r="B107" s="82"/>
      <c r="C107" s="82"/>
      <c r="D107" s="82"/>
      <c r="E107" s="82"/>
      <c r="K107" s="82"/>
    </row>
    <row r="108" ht="15.75" customHeight="1">
      <c r="A108" s="82"/>
      <c r="B108" s="82"/>
      <c r="C108" s="82"/>
      <c r="D108" s="82"/>
      <c r="E108" s="82"/>
      <c r="K108" s="82"/>
    </row>
    <row r="109" ht="15.75" customHeight="1">
      <c r="A109" s="82"/>
      <c r="B109" s="82"/>
      <c r="C109" s="82"/>
      <c r="D109" s="82"/>
      <c r="E109" s="82"/>
      <c r="K109" s="82"/>
    </row>
    <row r="110" ht="15.75" customHeight="1">
      <c r="A110" s="82"/>
      <c r="B110" s="82"/>
      <c r="C110" s="82"/>
      <c r="D110" s="82"/>
      <c r="E110" s="82"/>
      <c r="K110" s="82"/>
    </row>
    <row r="111" ht="15.75" customHeight="1">
      <c r="A111" s="82"/>
      <c r="B111" s="82"/>
      <c r="C111" s="82"/>
      <c r="D111" s="82"/>
      <c r="E111" s="82"/>
      <c r="K111" s="82"/>
    </row>
    <row r="112" ht="15.75" customHeight="1">
      <c r="A112" s="82"/>
      <c r="B112" s="82"/>
      <c r="C112" s="82"/>
      <c r="D112" s="82"/>
      <c r="E112" s="82"/>
      <c r="K112" s="82"/>
    </row>
    <row r="113" ht="15.75" customHeight="1">
      <c r="A113" s="82"/>
      <c r="B113" s="82"/>
      <c r="C113" s="82"/>
      <c r="D113" s="82"/>
      <c r="E113" s="82"/>
      <c r="K113" s="82"/>
    </row>
    <row r="114" ht="15.75" customHeight="1">
      <c r="A114" s="82"/>
      <c r="B114" s="82"/>
      <c r="C114" s="82"/>
      <c r="D114" s="82"/>
      <c r="E114" s="82"/>
      <c r="K114" s="82"/>
    </row>
    <row r="115" ht="15.75" customHeight="1">
      <c r="A115" s="82"/>
      <c r="B115" s="82"/>
      <c r="C115" s="82"/>
      <c r="D115" s="82"/>
      <c r="E115" s="82"/>
      <c r="K115" s="82"/>
    </row>
    <row r="116" ht="15.75" customHeight="1">
      <c r="A116" s="82"/>
      <c r="B116" s="82"/>
      <c r="C116" s="82"/>
      <c r="D116" s="82"/>
      <c r="E116" s="82"/>
      <c r="K116" s="82"/>
    </row>
    <row r="117" ht="15.75" customHeight="1">
      <c r="A117" s="82"/>
      <c r="B117" s="82"/>
      <c r="C117" s="82"/>
      <c r="D117" s="82"/>
      <c r="E117" s="82"/>
      <c r="K117" s="82"/>
    </row>
    <row r="118" ht="15.75" customHeight="1">
      <c r="A118" s="82"/>
      <c r="B118" s="82"/>
      <c r="C118" s="82"/>
      <c r="D118" s="82"/>
      <c r="E118" s="82"/>
      <c r="K118" s="82"/>
    </row>
    <row r="119" ht="15.75" customHeight="1">
      <c r="A119" s="82"/>
      <c r="B119" s="82"/>
      <c r="C119" s="82"/>
      <c r="D119" s="82"/>
      <c r="E119" s="82"/>
      <c r="K119" s="82"/>
    </row>
    <row r="120" ht="15.75" customHeight="1">
      <c r="A120" s="82"/>
      <c r="B120" s="82"/>
      <c r="C120" s="82"/>
      <c r="D120" s="82"/>
      <c r="E120" s="82"/>
      <c r="K120" s="82"/>
    </row>
    <row r="121" ht="15.75" customHeight="1">
      <c r="A121" s="82"/>
      <c r="B121" s="82"/>
      <c r="C121" s="82"/>
      <c r="D121" s="82"/>
      <c r="E121" s="82"/>
      <c r="K121" s="82"/>
    </row>
    <row r="122" ht="15.75" customHeight="1">
      <c r="A122" s="82"/>
      <c r="B122" s="82"/>
      <c r="C122" s="82"/>
      <c r="D122" s="82"/>
      <c r="E122" s="82"/>
      <c r="K122" s="82"/>
    </row>
    <row r="123" ht="15.75" customHeight="1">
      <c r="A123" s="82"/>
      <c r="B123" s="82"/>
      <c r="C123" s="82"/>
      <c r="D123" s="82"/>
      <c r="E123" s="82"/>
      <c r="K123" s="82"/>
    </row>
    <row r="124" ht="15.75" customHeight="1">
      <c r="A124" s="82"/>
      <c r="B124" s="82"/>
      <c r="C124" s="82"/>
      <c r="D124" s="82"/>
      <c r="E124" s="82"/>
      <c r="K124" s="82"/>
    </row>
    <row r="125" ht="15.75" customHeight="1">
      <c r="A125" s="82"/>
      <c r="B125" s="82"/>
      <c r="C125" s="82"/>
      <c r="D125" s="82"/>
      <c r="E125" s="82"/>
      <c r="K125" s="82"/>
    </row>
    <row r="126" ht="15.75" customHeight="1">
      <c r="A126" s="82"/>
      <c r="B126" s="82"/>
      <c r="C126" s="82"/>
      <c r="D126" s="82"/>
      <c r="E126" s="82"/>
      <c r="K126" s="82"/>
    </row>
    <row r="127" ht="15.75" customHeight="1">
      <c r="A127" s="82"/>
      <c r="B127" s="82"/>
      <c r="C127" s="82"/>
      <c r="D127" s="82"/>
      <c r="E127" s="82"/>
      <c r="K127" s="82"/>
    </row>
    <row r="128" ht="15.75" customHeight="1">
      <c r="A128" s="82"/>
      <c r="B128" s="82"/>
      <c r="C128" s="82"/>
      <c r="D128" s="82"/>
      <c r="E128" s="82"/>
      <c r="K128" s="82"/>
    </row>
    <row r="129" ht="15.75" customHeight="1">
      <c r="A129" s="82"/>
      <c r="B129" s="82"/>
      <c r="C129" s="82"/>
      <c r="D129" s="82"/>
      <c r="E129" s="82"/>
      <c r="K129" s="82"/>
    </row>
    <row r="130" ht="15.75" customHeight="1">
      <c r="A130" s="82"/>
      <c r="B130" s="82"/>
      <c r="C130" s="82"/>
      <c r="D130" s="82"/>
      <c r="E130" s="82"/>
      <c r="K130" s="82"/>
    </row>
    <row r="131" ht="15.75" customHeight="1">
      <c r="A131" s="82"/>
      <c r="B131" s="82"/>
      <c r="C131" s="82"/>
      <c r="D131" s="82"/>
      <c r="E131" s="82"/>
      <c r="K131" s="82"/>
    </row>
    <row r="132" ht="15.75" customHeight="1">
      <c r="A132" s="82"/>
      <c r="B132" s="82"/>
      <c r="C132" s="82"/>
      <c r="D132" s="82"/>
      <c r="E132" s="82"/>
      <c r="K132" s="82"/>
    </row>
    <row r="133" ht="15.75" customHeight="1">
      <c r="A133" s="82"/>
      <c r="B133" s="82"/>
      <c r="C133" s="82"/>
      <c r="D133" s="82"/>
      <c r="E133" s="82"/>
      <c r="K133" s="82"/>
    </row>
    <row r="134" ht="15.75" customHeight="1">
      <c r="A134" s="82"/>
      <c r="B134" s="82"/>
      <c r="C134" s="82"/>
      <c r="D134" s="82"/>
      <c r="E134" s="82"/>
      <c r="K134" s="82"/>
    </row>
    <row r="135" ht="15.75" customHeight="1">
      <c r="A135" s="82"/>
      <c r="B135" s="82"/>
      <c r="C135" s="82"/>
      <c r="D135" s="82"/>
      <c r="E135" s="82"/>
      <c r="K135" s="82"/>
    </row>
    <row r="136" ht="15.75" customHeight="1">
      <c r="A136" s="82"/>
      <c r="B136" s="82"/>
      <c r="C136" s="82"/>
      <c r="D136" s="82"/>
      <c r="E136" s="82"/>
      <c r="K136" s="82"/>
    </row>
    <row r="137" ht="15.75" customHeight="1">
      <c r="A137" s="82"/>
      <c r="B137" s="82"/>
      <c r="C137" s="82"/>
      <c r="D137" s="82"/>
      <c r="E137" s="82"/>
      <c r="K137" s="82"/>
    </row>
    <row r="138" ht="15.75" customHeight="1">
      <c r="A138" s="82"/>
      <c r="B138" s="82"/>
      <c r="C138" s="82"/>
      <c r="D138" s="82"/>
      <c r="E138" s="82"/>
      <c r="K138" s="82"/>
    </row>
    <row r="139" ht="15.75" customHeight="1">
      <c r="A139" s="82"/>
      <c r="B139" s="82"/>
      <c r="C139" s="82"/>
      <c r="D139" s="82"/>
      <c r="E139" s="82"/>
      <c r="K139" s="82"/>
    </row>
    <row r="140" ht="15.75" customHeight="1">
      <c r="A140" s="82"/>
      <c r="B140" s="82"/>
      <c r="C140" s="82"/>
      <c r="D140" s="82"/>
      <c r="E140" s="82"/>
      <c r="K140" s="82"/>
    </row>
    <row r="141" ht="15.75" customHeight="1">
      <c r="A141" s="82"/>
      <c r="B141" s="82"/>
      <c r="C141" s="82"/>
      <c r="D141" s="82"/>
      <c r="E141" s="82"/>
      <c r="K141" s="82"/>
    </row>
    <row r="142" ht="15.75" customHeight="1">
      <c r="A142" s="82"/>
      <c r="B142" s="82"/>
      <c r="C142" s="82"/>
      <c r="D142" s="82"/>
      <c r="E142" s="82"/>
      <c r="K142" s="82"/>
    </row>
    <row r="143" ht="15.75" customHeight="1">
      <c r="A143" s="82"/>
      <c r="B143" s="82"/>
      <c r="C143" s="82"/>
      <c r="D143" s="82"/>
      <c r="E143" s="82"/>
      <c r="K143" s="82"/>
    </row>
    <row r="144" ht="15.75" customHeight="1">
      <c r="A144" s="82"/>
      <c r="B144" s="82"/>
      <c r="C144" s="82"/>
      <c r="D144" s="82"/>
      <c r="E144" s="82"/>
      <c r="K144" s="82"/>
    </row>
    <row r="145" ht="15.75" customHeight="1">
      <c r="A145" s="82"/>
      <c r="B145" s="82"/>
      <c r="C145" s="82"/>
      <c r="D145" s="82"/>
      <c r="E145" s="82"/>
      <c r="K145" s="82"/>
    </row>
    <row r="146" ht="15.75" customHeight="1">
      <c r="A146" s="82"/>
      <c r="B146" s="82"/>
      <c r="C146" s="82"/>
      <c r="D146" s="82"/>
      <c r="E146" s="82"/>
      <c r="K146" s="82"/>
    </row>
    <row r="147" ht="15.75" customHeight="1">
      <c r="A147" s="82"/>
      <c r="B147" s="82"/>
      <c r="C147" s="82"/>
      <c r="D147" s="82"/>
      <c r="E147" s="82"/>
      <c r="K147" s="82"/>
    </row>
    <row r="148" ht="15.75" customHeight="1">
      <c r="A148" s="82"/>
      <c r="B148" s="82"/>
      <c r="C148" s="82"/>
      <c r="D148" s="82"/>
      <c r="E148" s="82"/>
      <c r="K148" s="82"/>
    </row>
    <row r="149" ht="15.75" customHeight="1">
      <c r="A149" s="82"/>
      <c r="B149" s="82"/>
      <c r="C149" s="82"/>
      <c r="D149" s="82"/>
      <c r="E149" s="82"/>
      <c r="K149" s="82"/>
    </row>
    <row r="150" ht="15.75" customHeight="1">
      <c r="A150" s="82"/>
      <c r="B150" s="82"/>
      <c r="C150" s="82"/>
      <c r="D150" s="82"/>
      <c r="E150" s="82"/>
      <c r="K150" s="82"/>
    </row>
    <row r="151" ht="15.75" customHeight="1">
      <c r="A151" s="82"/>
      <c r="B151" s="82"/>
      <c r="C151" s="82"/>
      <c r="D151" s="82"/>
      <c r="E151" s="82"/>
      <c r="K151" s="82"/>
    </row>
    <row r="152" ht="15.75" customHeight="1">
      <c r="A152" s="82"/>
      <c r="B152" s="82"/>
      <c r="C152" s="82"/>
      <c r="D152" s="82"/>
      <c r="E152" s="82"/>
      <c r="K152" s="82"/>
    </row>
    <row r="153" ht="15.75" customHeight="1">
      <c r="A153" s="82"/>
      <c r="B153" s="82"/>
      <c r="C153" s="82"/>
      <c r="D153" s="82"/>
      <c r="E153" s="82"/>
      <c r="K153" s="82"/>
    </row>
    <row r="154" ht="15.75" customHeight="1">
      <c r="A154" s="82"/>
      <c r="B154" s="82"/>
      <c r="C154" s="82"/>
      <c r="D154" s="82"/>
      <c r="E154" s="82"/>
      <c r="K154" s="82"/>
    </row>
    <row r="155" ht="15.75" customHeight="1">
      <c r="A155" s="82"/>
      <c r="B155" s="82"/>
      <c r="C155" s="82"/>
      <c r="D155" s="82"/>
      <c r="E155" s="82"/>
      <c r="K155" s="82"/>
    </row>
    <row r="156" ht="15.75" customHeight="1">
      <c r="A156" s="82"/>
      <c r="B156" s="82"/>
      <c r="C156" s="82"/>
      <c r="D156" s="82"/>
      <c r="E156" s="82"/>
      <c r="K156" s="82"/>
    </row>
    <row r="157" ht="15.75" customHeight="1">
      <c r="A157" s="82"/>
      <c r="B157" s="82"/>
      <c r="C157" s="82"/>
      <c r="D157" s="82"/>
      <c r="E157" s="82"/>
      <c r="K157" s="82"/>
    </row>
    <row r="158" ht="15.75" customHeight="1">
      <c r="A158" s="82"/>
      <c r="B158" s="82"/>
      <c r="C158" s="82"/>
      <c r="D158" s="82"/>
      <c r="E158" s="82"/>
      <c r="K158" s="82"/>
    </row>
    <row r="159" ht="15.75" customHeight="1">
      <c r="A159" s="82"/>
      <c r="B159" s="82"/>
      <c r="C159" s="82"/>
      <c r="D159" s="82"/>
      <c r="E159" s="82"/>
      <c r="K159" s="82"/>
    </row>
    <row r="160" ht="15.75" customHeight="1">
      <c r="A160" s="82"/>
      <c r="B160" s="82"/>
      <c r="C160" s="82"/>
      <c r="D160" s="82"/>
      <c r="E160" s="82"/>
      <c r="K160" s="82"/>
    </row>
    <row r="161" ht="15.75" customHeight="1">
      <c r="A161" s="82"/>
      <c r="B161" s="82"/>
      <c r="C161" s="82"/>
      <c r="D161" s="82"/>
      <c r="E161" s="82"/>
      <c r="K161" s="82"/>
    </row>
    <row r="162" ht="15.75" customHeight="1">
      <c r="A162" s="82"/>
      <c r="B162" s="82"/>
      <c r="C162" s="82"/>
      <c r="D162" s="82"/>
      <c r="E162" s="82"/>
      <c r="K162" s="82"/>
    </row>
    <row r="163" ht="15.75" customHeight="1">
      <c r="A163" s="82"/>
      <c r="B163" s="82"/>
      <c r="C163" s="82"/>
      <c r="D163" s="82"/>
      <c r="E163" s="82"/>
      <c r="K163" s="82"/>
    </row>
    <row r="164" ht="15.75" customHeight="1">
      <c r="A164" s="82"/>
      <c r="B164" s="82"/>
      <c r="C164" s="82"/>
      <c r="D164" s="82"/>
      <c r="E164" s="82"/>
      <c r="K164" s="82"/>
    </row>
    <row r="165" ht="15.75" customHeight="1">
      <c r="A165" s="82"/>
      <c r="B165" s="82"/>
      <c r="C165" s="82"/>
      <c r="D165" s="82"/>
      <c r="E165" s="82"/>
      <c r="K165" s="82"/>
    </row>
    <row r="166" ht="15.75" customHeight="1">
      <c r="A166" s="82"/>
      <c r="B166" s="82"/>
      <c r="C166" s="82"/>
      <c r="D166" s="82"/>
      <c r="E166" s="82"/>
      <c r="K166" s="82"/>
    </row>
    <row r="167" ht="15.75" customHeight="1">
      <c r="A167" s="82"/>
      <c r="B167" s="82"/>
      <c r="C167" s="82"/>
      <c r="D167" s="82"/>
      <c r="E167" s="82"/>
      <c r="K167" s="82"/>
    </row>
    <row r="168" ht="15.75" customHeight="1">
      <c r="A168" s="82"/>
      <c r="B168" s="82"/>
      <c r="C168" s="82"/>
      <c r="D168" s="82"/>
      <c r="E168" s="82"/>
      <c r="K168" s="82"/>
    </row>
    <row r="169" ht="15.75" customHeight="1">
      <c r="A169" s="82"/>
      <c r="B169" s="82"/>
      <c r="C169" s="82"/>
      <c r="D169" s="82"/>
      <c r="E169" s="82"/>
      <c r="K169" s="82"/>
    </row>
    <row r="170" ht="15.75" customHeight="1">
      <c r="A170" s="82"/>
      <c r="B170" s="82"/>
      <c r="C170" s="82"/>
      <c r="D170" s="82"/>
      <c r="E170" s="82"/>
      <c r="K170" s="82"/>
    </row>
    <row r="171" ht="15.75" customHeight="1">
      <c r="A171" s="82"/>
      <c r="B171" s="82"/>
      <c r="C171" s="82"/>
      <c r="D171" s="82"/>
      <c r="E171" s="82"/>
      <c r="K171" s="82"/>
    </row>
    <row r="172" ht="15.75" customHeight="1">
      <c r="A172" s="82"/>
      <c r="B172" s="82"/>
      <c r="C172" s="82"/>
      <c r="D172" s="82"/>
      <c r="E172" s="82"/>
      <c r="K172" s="82"/>
    </row>
    <row r="173" ht="15.75" customHeight="1">
      <c r="A173" s="82"/>
      <c r="B173" s="82"/>
      <c r="C173" s="82"/>
      <c r="D173" s="82"/>
      <c r="E173" s="82"/>
      <c r="K173" s="82"/>
    </row>
    <row r="174" ht="15.75" customHeight="1">
      <c r="A174" s="82"/>
      <c r="B174" s="82"/>
      <c r="C174" s="82"/>
      <c r="D174" s="82"/>
      <c r="E174" s="82"/>
      <c r="K174" s="82"/>
    </row>
    <row r="175" ht="15.75" customHeight="1">
      <c r="A175" s="82"/>
      <c r="B175" s="82"/>
      <c r="C175" s="82"/>
      <c r="D175" s="82"/>
      <c r="E175" s="82"/>
      <c r="K175" s="82"/>
    </row>
    <row r="176" ht="15.75" customHeight="1">
      <c r="A176" s="82"/>
      <c r="B176" s="82"/>
      <c r="C176" s="82"/>
      <c r="D176" s="82"/>
      <c r="E176" s="82"/>
      <c r="K176" s="82"/>
    </row>
    <row r="177" ht="15.75" customHeight="1">
      <c r="A177" s="82"/>
      <c r="B177" s="82"/>
      <c r="C177" s="82"/>
      <c r="D177" s="82"/>
      <c r="E177" s="82"/>
      <c r="K177" s="82"/>
    </row>
    <row r="178" ht="15.75" customHeight="1">
      <c r="A178" s="82"/>
      <c r="B178" s="82"/>
      <c r="C178" s="82"/>
      <c r="D178" s="82"/>
      <c r="E178" s="82"/>
      <c r="K178" s="82"/>
    </row>
    <row r="179" ht="15.75" customHeight="1">
      <c r="A179" s="82"/>
      <c r="B179" s="82"/>
      <c r="C179" s="82"/>
      <c r="D179" s="82"/>
      <c r="E179" s="82"/>
      <c r="K179" s="82"/>
    </row>
    <row r="180" ht="15.75" customHeight="1">
      <c r="A180" s="82"/>
      <c r="B180" s="82"/>
      <c r="C180" s="82"/>
      <c r="D180" s="82"/>
      <c r="E180" s="82"/>
      <c r="K180" s="82"/>
    </row>
    <row r="181" ht="15.75" customHeight="1">
      <c r="A181" s="82"/>
      <c r="B181" s="82"/>
      <c r="C181" s="82"/>
      <c r="D181" s="82"/>
      <c r="E181" s="82"/>
      <c r="K181" s="82"/>
    </row>
    <row r="182" ht="15.75" customHeight="1">
      <c r="A182" s="82"/>
      <c r="B182" s="82"/>
      <c r="C182" s="82"/>
      <c r="D182" s="82"/>
      <c r="E182" s="82"/>
      <c r="K182" s="82"/>
    </row>
    <row r="183" ht="15.75" customHeight="1">
      <c r="A183" s="82"/>
      <c r="B183" s="82"/>
      <c r="C183" s="82"/>
      <c r="D183" s="82"/>
      <c r="E183" s="82"/>
      <c r="K183" s="82"/>
    </row>
    <row r="184" ht="15.75" customHeight="1">
      <c r="A184" s="82"/>
      <c r="B184" s="82"/>
      <c r="C184" s="82"/>
      <c r="D184" s="82"/>
      <c r="E184" s="82"/>
      <c r="K184" s="82"/>
    </row>
    <row r="185" ht="15.75" customHeight="1">
      <c r="A185" s="82"/>
      <c r="B185" s="82"/>
      <c r="C185" s="82"/>
      <c r="D185" s="82"/>
      <c r="E185" s="82"/>
      <c r="K185" s="82"/>
    </row>
    <row r="186" ht="15.75" customHeight="1">
      <c r="A186" s="82"/>
      <c r="B186" s="82"/>
      <c r="C186" s="82"/>
      <c r="D186" s="82"/>
      <c r="E186" s="82"/>
      <c r="K186" s="82"/>
    </row>
    <row r="187" ht="15.75" customHeight="1">
      <c r="A187" s="82"/>
      <c r="B187" s="82"/>
      <c r="C187" s="82"/>
      <c r="D187" s="82"/>
      <c r="E187" s="82"/>
      <c r="K187" s="82"/>
    </row>
    <row r="188" ht="15.75" customHeight="1">
      <c r="A188" s="82"/>
      <c r="B188" s="82"/>
      <c r="C188" s="82"/>
      <c r="D188" s="82"/>
      <c r="E188" s="82"/>
      <c r="K188" s="82"/>
    </row>
    <row r="189" ht="15.75" customHeight="1">
      <c r="A189" s="82"/>
      <c r="B189" s="82"/>
      <c r="C189" s="82"/>
      <c r="D189" s="82"/>
      <c r="E189" s="82"/>
      <c r="K189" s="82"/>
    </row>
    <row r="190" ht="15.75" customHeight="1">
      <c r="A190" s="82"/>
      <c r="B190" s="82"/>
      <c r="C190" s="82"/>
      <c r="D190" s="82"/>
      <c r="E190" s="82"/>
      <c r="K190" s="82"/>
    </row>
    <row r="191" ht="15.75" customHeight="1">
      <c r="A191" s="82"/>
      <c r="B191" s="82"/>
      <c r="C191" s="82"/>
      <c r="D191" s="82"/>
      <c r="E191" s="82"/>
      <c r="K191" s="82"/>
    </row>
    <row r="192" ht="15.75" customHeight="1">
      <c r="A192" s="82"/>
      <c r="B192" s="82"/>
      <c r="C192" s="82"/>
      <c r="D192" s="82"/>
      <c r="E192" s="82"/>
      <c r="K192" s="82"/>
    </row>
    <row r="193" ht="15.75" customHeight="1">
      <c r="A193" s="82"/>
      <c r="B193" s="82"/>
      <c r="C193" s="82"/>
      <c r="D193" s="82"/>
      <c r="E193" s="82"/>
      <c r="K193" s="82"/>
    </row>
    <row r="194" ht="15.75" customHeight="1">
      <c r="A194" s="82"/>
      <c r="B194" s="82"/>
      <c r="C194" s="82"/>
      <c r="D194" s="82"/>
      <c r="E194" s="82"/>
      <c r="K194" s="82"/>
    </row>
    <row r="195" ht="15.75" customHeight="1">
      <c r="A195" s="82"/>
      <c r="B195" s="82"/>
      <c r="C195" s="82"/>
      <c r="D195" s="82"/>
      <c r="E195" s="82"/>
      <c r="K195" s="82"/>
    </row>
    <row r="196" ht="15.75" customHeight="1">
      <c r="A196" s="82"/>
      <c r="B196" s="82"/>
      <c r="C196" s="82"/>
      <c r="D196" s="82"/>
      <c r="E196" s="82"/>
      <c r="K196" s="82"/>
    </row>
    <row r="197" ht="15.75" customHeight="1">
      <c r="A197" s="82"/>
      <c r="B197" s="82"/>
      <c r="C197" s="82"/>
      <c r="D197" s="82"/>
      <c r="E197" s="82"/>
      <c r="K197" s="82"/>
    </row>
    <row r="198" ht="15.75" customHeight="1">
      <c r="A198" s="82"/>
      <c r="B198" s="82"/>
      <c r="C198" s="82"/>
      <c r="D198" s="82"/>
      <c r="E198" s="82"/>
      <c r="K198" s="82"/>
    </row>
    <row r="199" ht="15.75" customHeight="1">
      <c r="A199" s="82"/>
      <c r="B199" s="82"/>
      <c r="C199" s="82"/>
      <c r="D199" s="82"/>
      <c r="E199" s="82"/>
      <c r="K199" s="82"/>
    </row>
    <row r="200" ht="15.75" customHeight="1">
      <c r="A200" s="82"/>
      <c r="B200" s="82"/>
      <c r="C200" s="82"/>
      <c r="D200" s="82"/>
      <c r="E200" s="82"/>
      <c r="K200" s="82"/>
    </row>
    <row r="201" ht="15.75" customHeight="1">
      <c r="A201" s="82"/>
      <c r="B201" s="82"/>
      <c r="C201" s="82"/>
      <c r="D201" s="82"/>
      <c r="E201" s="82"/>
      <c r="K201" s="82"/>
    </row>
    <row r="202" ht="15.75" customHeight="1">
      <c r="A202" s="82"/>
      <c r="B202" s="82"/>
      <c r="C202" s="82"/>
      <c r="D202" s="82"/>
      <c r="E202" s="82"/>
      <c r="K202" s="82"/>
    </row>
    <row r="203" ht="15.75" customHeight="1">
      <c r="A203" s="82"/>
      <c r="B203" s="82"/>
      <c r="C203" s="82"/>
      <c r="D203" s="82"/>
      <c r="E203" s="82"/>
      <c r="K203" s="82"/>
    </row>
    <row r="204" ht="15.75" customHeight="1">
      <c r="A204" s="82"/>
      <c r="B204" s="82"/>
      <c r="C204" s="82"/>
      <c r="D204" s="82"/>
      <c r="E204" s="82"/>
      <c r="K204" s="82"/>
    </row>
    <row r="205" ht="15.75" customHeight="1">
      <c r="A205" s="82"/>
      <c r="B205" s="82"/>
      <c r="C205" s="82"/>
      <c r="D205" s="82"/>
      <c r="E205" s="82"/>
      <c r="K205" s="82"/>
    </row>
    <row r="206" ht="15.75" customHeight="1">
      <c r="A206" s="82"/>
      <c r="B206" s="82"/>
      <c r="C206" s="82"/>
      <c r="D206" s="82"/>
      <c r="E206" s="82"/>
      <c r="K206" s="82"/>
    </row>
    <row r="207" ht="15.75" customHeight="1">
      <c r="A207" s="82"/>
      <c r="B207" s="82"/>
      <c r="C207" s="82"/>
      <c r="D207" s="82"/>
      <c r="E207" s="82"/>
      <c r="K207" s="82"/>
    </row>
    <row r="208" ht="15.75" customHeight="1">
      <c r="A208" s="82"/>
      <c r="B208" s="82"/>
      <c r="C208" s="82"/>
      <c r="D208" s="82"/>
      <c r="E208" s="82"/>
      <c r="K208" s="82"/>
    </row>
    <row r="209" ht="15.75" customHeight="1">
      <c r="A209" s="82"/>
      <c r="B209" s="82"/>
      <c r="C209" s="82"/>
      <c r="D209" s="82"/>
      <c r="E209" s="82"/>
      <c r="K209" s="82"/>
    </row>
    <row r="210" ht="15.75" customHeight="1">
      <c r="A210" s="82"/>
      <c r="B210" s="82"/>
      <c r="C210" s="82"/>
      <c r="D210" s="82"/>
      <c r="E210" s="82"/>
      <c r="K210" s="82"/>
    </row>
    <row r="211" ht="15.75" customHeight="1">
      <c r="A211" s="82"/>
      <c r="B211" s="82"/>
      <c r="C211" s="82"/>
      <c r="D211" s="82"/>
      <c r="E211" s="82"/>
      <c r="K211" s="82"/>
    </row>
    <row r="212" ht="15.75" customHeight="1">
      <c r="A212" s="82"/>
      <c r="B212" s="82"/>
      <c r="C212" s="82"/>
      <c r="D212" s="82"/>
      <c r="E212" s="82"/>
      <c r="K212" s="82"/>
    </row>
    <row r="213" ht="15.75" customHeight="1">
      <c r="A213" s="82"/>
      <c r="B213" s="82"/>
      <c r="C213" s="82"/>
      <c r="D213" s="82"/>
      <c r="E213" s="82"/>
      <c r="K213" s="82"/>
    </row>
    <row r="214" ht="15.75" customHeight="1">
      <c r="A214" s="82"/>
      <c r="B214" s="82"/>
      <c r="C214" s="82"/>
      <c r="D214" s="82"/>
      <c r="E214" s="82"/>
      <c r="K214" s="82"/>
    </row>
    <row r="215" ht="15.75" customHeight="1">
      <c r="A215" s="82"/>
      <c r="B215" s="82"/>
      <c r="C215" s="82"/>
      <c r="D215" s="82"/>
      <c r="E215" s="82"/>
      <c r="K215" s="82"/>
    </row>
    <row r="216" ht="15.75" customHeight="1">
      <c r="A216" s="82"/>
      <c r="B216" s="82"/>
      <c r="C216" s="82"/>
      <c r="D216" s="82"/>
      <c r="E216" s="82"/>
      <c r="K216" s="82"/>
    </row>
    <row r="217" ht="15.75" customHeight="1">
      <c r="A217" s="82"/>
      <c r="B217" s="82"/>
      <c r="C217" s="82"/>
      <c r="D217" s="82"/>
      <c r="E217" s="82"/>
      <c r="K217" s="82"/>
    </row>
    <row r="218" ht="15.75" customHeight="1">
      <c r="A218" s="82"/>
      <c r="B218" s="82"/>
      <c r="C218" s="82"/>
      <c r="D218" s="82"/>
      <c r="E218" s="82"/>
      <c r="K218" s="82"/>
    </row>
    <row r="219" ht="15.75" customHeight="1">
      <c r="A219" s="82"/>
      <c r="B219" s="82"/>
      <c r="C219" s="82"/>
      <c r="D219" s="82"/>
      <c r="E219" s="82"/>
      <c r="K219" s="82"/>
    </row>
    <row r="220" ht="15.75" customHeight="1">
      <c r="A220" s="82"/>
      <c r="B220" s="82"/>
      <c r="C220" s="82"/>
      <c r="D220" s="82"/>
      <c r="E220" s="82"/>
      <c r="K220" s="82"/>
    </row>
    <row r="221" ht="15.75" customHeight="1">
      <c r="A221" s="82"/>
      <c r="B221" s="82"/>
      <c r="C221" s="82"/>
      <c r="D221" s="82"/>
      <c r="E221" s="82"/>
      <c r="K221" s="82"/>
    </row>
    <row r="222" ht="15.75" customHeight="1">
      <c r="A222" s="82"/>
      <c r="B222" s="82"/>
      <c r="C222" s="82"/>
      <c r="D222" s="82"/>
      <c r="E222" s="82"/>
      <c r="K222" s="82"/>
    </row>
    <row r="223" ht="15.75" customHeight="1">
      <c r="A223" s="82"/>
      <c r="B223" s="82"/>
      <c r="C223" s="82"/>
      <c r="D223" s="82"/>
      <c r="E223" s="82"/>
      <c r="K223" s="82"/>
    </row>
    <row r="224" ht="15.75" customHeight="1">
      <c r="A224" s="82"/>
      <c r="B224" s="82"/>
      <c r="C224" s="82"/>
      <c r="D224" s="82"/>
      <c r="E224" s="82"/>
      <c r="K224" s="82"/>
    </row>
    <row r="225" ht="15.75" customHeight="1">
      <c r="A225" s="82"/>
      <c r="B225" s="82"/>
      <c r="C225" s="82"/>
      <c r="D225" s="82"/>
      <c r="E225" s="82"/>
      <c r="K225" s="82"/>
    </row>
    <row r="226" ht="15.75" customHeight="1">
      <c r="A226" s="82"/>
      <c r="B226" s="82"/>
      <c r="C226" s="82"/>
      <c r="D226" s="82"/>
      <c r="E226" s="82"/>
      <c r="K226" s="82"/>
    </row>
    <row r="227" ht="15.75" customHeight="1">
      <c r="A227" s="82"/>
      <c r="B227" s="82"/>
      <c r="C227" s="82"/>
      <c r="D227" s="82"/>
      <c r="E227" s="82"/>
      <c r="K227" s="82"/>
    </row>
    <row r="228" ht="15.75" customHeight="1">
      <c r="A228" s="82"/>
      <c r="B228" s="82"/>
      <c r="C228" s="82"/>
      <c r="D228" s="82"/>
      <c r="E228" s="82"/>
      <c r="K228" s="82"/>
    </row>
    <row r="229" ht="15.75" customHeight="1">
      <c r="A229" s="82"/>
      <c r="B229" s="82"/>
      <c r="C229" s="82"/>
      <c r="D229" s="82"/>
      <c r="E229" s="82"/>
      <c r="K229" s="82"/>
    </row>
    <row r="230" ht="15.75" customHeight="1">
      <c r="A230" s="82"/>
      <c r="B230" s="82"/>
      <c r="C230" s="82"/>
      <c r="D230" s="82"/>
      <c r="E230" s="82"/>
      <c r="K230" s="82"/>
    </row>
    <row r="231" ht="15.75" customHeight="1">
      <c r="A231" s="82"/>
      <c r="B231" s="82"/>
      <c r="C231" s="82"/>
      <c r="D231" s="82"/>
      <c r="E231" s="82"/>
      <c r="K231" s="82"/>
    </row>
    <row r="232" ht="15.75" customHeight="1">
      <c r="A232" s="82"/>
      <c r="B232" s="82"/>
      <c r="C232" s="82"/>
      <c r="D232" s="82"/>
      <c r="E232" s="82"/>
      <c r="K232" s="82"/>
    </row>
    <row r="233" ht="15.75" customHeight="1">
      <c r="A233" s="82"/>
      <c r="B233" s="82"/>
      <c r="C233" s="82"/>
      <c r="D233" s="82"/>
      <c r="E233" s="82"/>
      <c r="K233" s="82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