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b sur ZC" sheetId="1" r:id="rId4"/>
    <sheet state="visible" name="Ok" sheetId="2" r:id="rId5"/>
    <sheet state="visible" name="Feuille 2" sheetId="3" r:id="rId6"/>
  </sheets>
  <definedNames/>
  <calcPr/>
</workbook>
</file>

<file path=xl/sharedStrings.xml><?xml version="1.0" encoding="utf-8"?>
<sst xmlns="http://schemas.openxmlformats.org/spreadsheetml/2006/main" count="42" uniqueCount="22">
  <si>
    <t>href [m]</t>
  </si>
  <si>
    <t>z0</t>
  </si>
  <si>
    <t>0.1</t>
  </si>
  <si>
    <t>vref[m/s]</t>
  </si>
  <si>
    <t>Absolute impacts</t>
  </si>
  <si>
    <t>Impact per functional unit</t>
  </si>
  <si>
    <t>Type of optimization (no nrj need)</t>
  </si>
  <si>
    <t>Value of h [m]</t>
  </si>
  <si>
    <t>Value of d [mm]</t>
  </si>
  <si>
    <t>Single score [unit]</t>
  </si>
  <si>
    <t>ADP [kg Sb-Eq]</t>
  </si>
  <si>
    <t>Global warming [kg CO2-Eq]</t>
  </si>
  <si>
    <t>Ecotoxicity [CTUE]</t>
  </si>
  <si>
    <t>Single score [unit/kWh</t>
  </si>
  <si>
    <t>ADP [kg Sb-Eq/kWh]</t>
  </si>
  <si>
    <t>Global warming [kg CO2-Eq/kWh]</t>
  </si>
  <si>
    <t>Ecotoxicity [CTUE/kWh]</t>
  </si>
  <si>
    <t>Mass</t>
  </si>
  <si>
    <t>Abiotic depletion ressources</t>
  </si>
  <si>
    <t>Global warming</t>
  </si>
  <si>
    <t>Single score</t>
  </si>
  <si>
    <t>0.5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</si>
</sst>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/>
    <font>
      <b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readingOrder="0" shrinkToFit="0" vertical="top" wrapText="1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7" fillId="0" fontId="1" numFmtId="11" xfId="0" applyAlignment="1" applyBorder="1" applyFont="1" applyNumberFormat="1">
      <alignment readingOrder="0"/>
    </xf>
    <xf borderId="6" fillId="0" fontId="1" numFmtId="11" xfId="0" applyAlignment="1" applyBorder="1" applyFont="1" applyNumberForma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0" fillId="0" fontId="1" numFmtId="11" xfId="0" applyAlignment="1" applyFont="1" applyNumberFormat="1">
      <alignment readingOrder="0"/>
    </xf>
    <xf borderId="10" fillId="0" fontId="1" numFmtId="11" xfId="0" applyAlignment="1" applyBorder="1" applyFont="1" applyNumberFormat="1">
      <alignment readingOrder="0"/>
    </xf>
    <xf borderId="10" fillId="0" fontId="1" numFmtId="4" xfId="0" applyAlignment="1" applyBorder="1" applyFont="1" applyNumberFormat="1">
      <alignment readingOrder="0"/>
    </xf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14" fillId="0" fontId="1" numFmtId="11" xfId="0" applyAlignment="1" applyBorder="1" applyFont="1" applyNumberFormat="1">
      <alignment readingOrder="0"/>
    </xf>
    <xf borderId="13" fillId="0" fontId="1" numFmtId="11" xfId="0" applyAlignment="1" applyBorder="1" applyFont="1" applyNumberFormat="1">
      <alignment readingOrder="0"/>
    </xf>
    <xf borderId="0" fillId="0" fontId="1" numFmtId="4" xfId="0" applyAlignment="1" applyFont="1" applyNumberFormat="1">
      <alignment readingOrder="0"/>
    </xf>
    <xf borderId="10" fillId="0" fontId="1" numFmtId="0" xfId="0" applyBorder="1" applyFont="1"/>
    <xf borderId="5" fillId="0" fontId="1" numFmtId="164" xfId="0" applyAlignment="1" applyBorder="1" applyFont="1" applyNumberFormat="1">
      <alignment readingOrder="0"/>
    </xf>
    <xf borderId="5" fillId="0" fontId="1" numFmtId="11" xfId="0" applyAlignment="1" applyBorder="1" applyFont="1" applyNumberFormat="1">
      <alignment readingOrder="0"/>
    </xf>
    <xf borderId="9" fillId="0" fontId="1" numFmtId="164" xfId="0" applyAlignment="1" applyBorder="1" applyFont="1" applyNumberFormat="1">
      <alignment readingOrder="0"/>
    </xf>
    <xf borderId="9" fillId="0" fontId="1" numFmtId="11" xfId="0" applyAlignment="1" applyBorder="1" applyFont="1" applyNumberFormat="1">
      <alignment readingOrder="0"/>
    </xf>
    <xf borderId="12" fillId="0" fontId="1" numFmtId="11" xfId="0" applyAlignment="1" applyBorder="1" applyFont="1" applyNumberFormat="1">
      <alignment readingOrder="0"/>
    </xf>
    <xf borderId="13" fillId="0" fontId="1" numFmtId="4" xfId="0" applyAlignment="1" applyBorder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top"/>
    </xf>
    <xf borderId="0" fillId="0" fontId="6" numFmtId="11" xfId="0" applyAlignment="1" applyFont="1" applyNumberFormat="1">
      <alignment horizontal="right" readingOrder="0" vertical="bottom"/>
    </xf>
    <xf borderId="0" fillId="0" fontId="6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Global warming impact per energy produced  for different configuration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'Pb sur ZC'!$A$5:$A$8</c:f>
            </c:strRef>
          </c:cat>
          <c:val>
            <c:numRef>
              <c:f>'Pb sur ZC'!$J$5:$J$8</c:f>
              <c:numCache/>
            </c:numRef>
          </c:val>
        </c:ser>
        <c:axId val="851828608"/>
        <c:axId val="1973728263"/>
      </c:barChart>
      <c:catAx>
        <c:axId val="85182860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 minimized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3728263"/>
      </c:catAx>
      <c:valAx>
        <c:axId val="19737282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Global warming [kg CO2-Eq/kWh]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182860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Abiotic depletion ressources impact per energy produced  for different configuration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'Pb sur ZC'!$A$5:$A$8</c:f>
            </c:strRef>
          </c:cat>
          <c:val>
            <c:numRef>
              <c:f>'Pb sur ZC'!$I$5:$I$8</c:f>
              <c:numCache/>
            </c:numRef>
          </c:val>
        </c:ser>
        <c:axId val="1873255640"/>
        <c:axId val="1254750957"/>
      </c:barChart>
      <c:catAx>
        <c:axId val="18732556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 minimized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4750957"/>
      </c:catAx>
      <c:valAx>
        <c:axId val="12547509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ADP [kg Sb-Eq/kWh]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325564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Single score per energy produced  for different configuration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'Pb sur ZC'!$A$5:$A$8</c:f>
            </c:strRef>
          </c:cat>
          <c:val>
            <c:numRef>
              <c:f>'Pb sur ZC'!$H$5:$H$8</c:f>
              <c:numCache/>
            </c:numRef>
          </c:val>
        </c:ser>
        <c:axId val="704884327"/>
        <c:axId val="2041239139"/>
      </c:barChart>
      <c:catAx>
        <c:axId val="7048843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 minimized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239139"/>
      </c:catAx>
      <c:valAx>
        <c:axId val="20412391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Single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488432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Global warming impact per energy produced  for different configuration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Ok!$A$5:$A$8</c:f>
            </c:strRef>
          </c:cat>
          <c:val>
            <c:numRef>
              <c:f>Ok!$J$5:$J$8</c:f>
              <c:numCache/>
            </c:numRef>
          </c:val>
        </c:ser>
        <c:axId val="891490693"/>
        <c:axId val="1465098719"/>
      </c:barChart>
      <c:catAx>
        <c:axId val="8914906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 minimized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5098719"/>
      </c:catAx>
      <c:valAx>
        <c:axId val="14650987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Global warming [kg CO2-Eq/kWh]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149069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Abiotic depletion ressources impact per energy produced  for different configuration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Ok!$A$5:$A$8</c:f>
            </c:strRef>
          </c:cat>
          <c:val>
            <c:numRef>
              <c:f>Ok!$I$5:$I$8</c:f>
              <c:numCache/>
            </c:numRef>
          </c:val>
        </c:ser>
        <c:axId val="1554378218"/>
        <c:axId val="376615403"/>
      </c:barChart>
      <c:catAx>
        <c:axId val="15543782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 minimized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6615403"/>
      </c:catAx>
      <c:valAx>
        <c:axId val="3766154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ADP [kg Sb-Eq/kWh]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437821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Single score per energy produced  for different configuration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Ok!$A$5:$A$8</c:f>
            </c:strRef>
          </c:cat>
          <c:val>
            <c:numRef>
              <c:f>Ok!$H$5:$H$8</c:f>
              <c:numCache/>
            </c:numRef>
          </c:val>
        </c:ser>
        <c:axId val="5726636"/>
        <c:axId val="1292817286"/>
      </c:barChart>
      <c:catAx>
        <c:axId val="57266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 minimized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2817286"/>
      </c:catAx>
      <c:valAx>
        <c:axId val="12928172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Single score/kWh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2663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666750</xdr:colOff>
      <xdr:row>10</xdr:row>
      <xdr:rowOff>9525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552450</xdr:colOff>
      <xdr:row>10</xdr:row>
      <xdr:rowOff>9525</xdr:rowOff>
    </xdr:from>
    <xdr:ext cx="5715000" cy="353377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9</xdr:row>
      <xdr:rowOff>142875</xdr:rowOff>
    </xdr:from>
    <xdr:ext cx="5715000" cy="3533775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666750</xdr:colOff>
      <xdr:row>10</xdr:row>
      <xdr:rowOff>9525</xdr:rowOff>
    </xdr:from>
    <xdr:ext cx="5715000" cy="3533775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552450</xdr:colOff>
      <xdr:row>10</xdr:row>
      <xdr:rowOff>9525</xdr:rowOff>
    </xdr:from>
    <xdr:ext cx="5715000" cy="3533775"/>
    <xdr:graphicFrame>
      <xdr:nvGraphicFramePr>
        <xdr:cNvPr id="5" name="Chart 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9</xdr:row>
      <xdr:rowOff>142875</xdr:rowOff>
    </xdr:from>
    <xdr:ext cx="5715000" cy="3533775"/>
    <xdr:graphicFrame>
      <xdr:nvGraphicFramePr>
        <xdr:cNvPr id="6" name="Chart 6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10" max="10" width="15.0"/>
  </cols>
  <sheetData>
    <row r="1">
      <c r="A1" s="1" t="s">
        <v>0</v>
      </c>
      <c r="B1" s="1">
        <v>12.0</v>
      </c>
      <c r="C1" s="1" t="s">
        <v>1</v>
      </c>
      <c r="D1" s="1" t="s">
        <v>2</v>
      </c>
    </row>
    <row r="2">
      <c r="A2" s="1" t="s">
        <v>3</v>
      </c>
      <c r="B2" s="1">
        <v>4.0</v>
      </c>
      <c r="D2" s="2"/>
      <c r="E2" s="2"/>
      <c r="F2" s="2"/>
      <c r="G2" s="2"/>
      <c r="H2" s="2"/>
      <c r="I2" s="2"/>
      <c r="J2" s="2"/>
      <c r="K2" s="2"/>
    </row>
    <row r="3">
      <c r="D3" s="3" t="s">
        <v>4</v>
      </c>
      <c r="E3" s="4"/>
      <c r="F3" s="4"/>
      <c r="G3" s="5"/>
      <c r="H3" s="3" t="s">
        <v>5</v>
      </c>
      <c r="I3" s="4"/>
      <c r="J3" s="4"/>
      <c r="K3" s="5"/>
    </row>
    <row r="4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15</v>
      </c>
      <c r="K4" s="6" t="s">
        <v>16</v>
      </c>
    </row>
    <row r="5">
      <c r="A5" s="7" t="s">
        <v>17</v>
      </c>
      <c r="B5" s="8">
        <v>12.0</v>
      </c>
      <c r="C5" s="9">
        <v>4200.0</v>
      </c>
      <c r="D5" s="10">
        <v>0.3328</v>
      </c>
      <c r="E5" s="8">
        <v>0.120445</v>
      </c>
      <c r="F5" s="11">
        <v>1795.23</v>
      </c>
      <c r="G5" s="12">
        <v>85274.0</v>
      </c>
      <c r="H5" s="11">
        <v>8.1809277138215E-6</v>
      </c>
      <c r="I5" s="11">
        <v>2.96078E-6</v>
      </c>
      <c r="J5" s="11">
        <v>0.0442028</v>
      </c>
      <c r="K5" s="9">
        <v>2.0962</v>
      </c>
    </row>
    <row r="6">
      <c r="A6" s="13" t="s">
        <v>18</v>
      </c>
      <c r="B6" s="14">
        <v>24.06</v>
      </c>
      <c r="C6" s="15">
        <v>4200.0</v>
      </c>
      <c r="D6" s="1">
        <v>0.4525</v>
      </c>
      <c r="E6" s="14">
        <v>0.145255</v>
      </c>
      <c r="F6" s="16">
        <v>2809.09</v>
      </c>
      <c r="G6" s="17">
        <v>114038.0</v>
      </c>
      <c r="H6" s="16">
        <v>7.99620994208452E-6</v>
      </c>
      <c r="I6" s="16">
        <v>2.56667E-6</v>
      </c>
      <c r="J6" s="16">
        <v>0.0496369</v>
      </c>
      <c r="K6" s="18">
        <v>2.01506</v>
      </c>
    </row>
    <row r="7">
      <c r="A7" s="13" t="s">
        <v>19</v>
      </c>
      <c r="B7" s="14">
        <v>16.03</v>
      </c>
      <c r="C7" s="15">
        <v>4200.0</v>
      </c>
      <c r="D7" s="1">
        <v>0.3621</v>
      </c>
      <c r="E7" s="14">
        <v>0.130892</v>
      </c>
      <c r="F7" s="16">
        <v>1942.46</v>
      </c>
      <c r="G7" s="17">
        <v>9291.0</v>
      </c>
      <c r="H7" s="16">
        <f>0.000007698</f>
        <v>0.000007698</v>
      </c>
      <c r="I7" s="16">
        <f>0.0000027824</f>
        <v>0.0000027824</v>
      </c>
      <c r="J7" s="16">
        <v>0.0412913</v>
      </c>
      <c r="K7" s="18">
        <v>1.97501</v>
      </c>
    </row>
    <row r="8">
      <c r="A8" s="19" t="s">
        <v>20</v>
      </c>
      <c r="B8" s="20">
        <v>18.4</v>
      </c>
      <c r="C8" s="21">
        <v>4200.0</v>
      </c>
      <c r="D8" s="22">
        <v>0.3828</v>
      </c>
      <c r="E8" s="20">
        <v>0.135455</v>
      </c>
      <c r="F8" s="23">
        <f>2107.97</f>
        <v>2107.97</v>
      </c>
      <c r="G8" s="24">
        <v>97959.3</v>
      </c>
      <c r="H8" s="23">
        <f>7.635*0.000001</f>
        <v>0.000007635</v>
      </c>
      <c r="I8" s="16">
        <f> 0.00000270176</f>
        <v>0.00000270176</v>
      </c>
      <c r="J8" s="16">
        <v>0.0420453</v>
      </c>
      <c r="K8" s="25">
        <v>1.95389</v>
      </c>
    </row>
    <row r="150">
      <c r="A150" s="26"/>
      <c r="C150" s="26"/>
      <c r="G150" s="26"/>
      <c r="K150" s="26"/>
    </row>
    <row r="151">
      <c r="A151" s="26"/>
      <c r="C151" s="26"/>
      <c r="G151" s="26"/>
      <c r="K151" s="26"/>
    </row>
    <row r="152">
      <c r="A152" s="26"/>
      <c r="C152" s="26"/>
      <c r="G152" s="26"/>
      <c r="K152" s="26"/>
    </row>
    <row r="153">
      <c r="A153" s="26"/>
      <c r="C153" s="26"/>
      <c r="G153" s="26"/>
      <c r="K153" s="26"/>
    </row>
    <row r="154">
      <c r="A154" s="26"/>
      <c r="C154" s="26"/>
      <c r="G154" s="26"/>
      <c r="K154" s="26"/>
    </row>
    <row r="155">
      <c r="A155" s="26"/>
      <c r="C155" s="26"/>
      <c r="G155" s="26"/>
      <c r="K155" s="26"/>
    </row>
    <row r="156">
      <c r="A156" s="26"/>
      <c r="C156" s="26"/>
      <c r="G156" s="26"/>
      <c r="K156" s="26"/>
    </row>
    <row r="157">
      <c r="A157" s="26"/>
      <c r="C157" s="26"/>
      <c r="G157" s="26"/>
      <c r="K157" s="26"/>
    </row>
    <row r="158">
      <c r="A158" s="26"/>
      <c r="C158" s="26"/>
      <c r="G158" s="26"/>
      <c r="K158" s="26"/>
    </row>
    <row r="159">
      <c r="A159" s="26"/>
      <c r="C159" s="26"/>
      <c r="G159" s="26"/>
      <c r="K159" s="26"/>
    </row>
    <row r="160">
      <c r="A160" s="26"/>
      <c r="C160" s="26"/>
      <c r="G160" s="26"/>
      <c r="K160" s="26"/>
    </row>
    <row r="161">
      <c r="A161" s="26"/>
      <c r="C161" s="26"/>
      <c r="G161" s="26"/>
      <c r="K161" s="26"/>
    </row>
    <row r="162">
      <c r="A162" s="26"/>
      <c r="C162" s="26"/>
      <c r="G162" s="26"/>
      <c r="K162" s="26"/>
    </row>
    <row r="163">
      <c r="A163" s="26"/>
      <c r="C163" s="26"/>
      <c r="G163" s="26"/>
      <c r="K163" s="26"/>
    </row>
    <row r="164">
      <c r="A164" s="26"/>
      <c r="C164" s="26"/>
      <c r="G164" s="26"/>
      <c r="K164" s="26"/>
    </row>
    <row r="165">
      <c r="A165" s="26"/>
      <c r="C165" s="26"/>
      <c r="G165" s="26"/>
      <c r="K165" s="26"/>
    </row>
    <row r="166">
      <c r="A166" s="26"/>
      <c r="C166" s="26"/>
      <c r="G166" s="26"/>
      <c r="K166" s="26"/>
    </row>
    <row r="167">
      <c r="A167" s="26"/>
      <c r="C167" s="26"/>
      <c r="G167" s="26"/>
      <c r="K167" s="26"/>
    </row>
    <row r="168">
      <c r="A168" s="26"/>
      <c r="C168" s="26"/>
      <c r="G168" s="26"/>
      <c r="K168" s="26"/>
    </row>
    <row r="169">
      <c r="A169" s="26"/>
      <c r="C169" s="26"/>
      <c r="G169" s="26"/>
      <c r="K169" s="26"/>
    </row>
    <row r="170">
      <c r="A170" s="26"/>
      <c r="C170" s="26"/>
      <c r="G170" s="26"/>
      <c r="K170" s="26"/>
    </row>
    <row r="171">
      <c r="A171" s="26"/>
      <c r="C171" s="26"/>
      <c r="G171" s="26"/>
      <c r="K171" s="26"/>
    </row>
    <row r="172">
      <c r="A172" s="26"/>
      <c r="C172" s="26"/>
      <c r="G172" s="26"/>
      <c r="K172" s="26"/>
    </row>
    <row r="173">
      <c r="A173" s="26"/>
      <c r="C173" s="26"/>
      <c r="G173" s="26"/>
      <c r="K173" s="26"/>
    </row>
    <row r="174">
      <c r="A174" s="26"/>
      <c r="C174" s="26"/>
      <c r="G174" s="26"/>
      <c r="K174" s="26"/>
    </row>
    <row r="175">
      <c r="A175" s="26"/>
      <c r="C175" s="26"/>
      <c r="G175" s="26"/>
      <c r="K175" s="26"/>
    </row>
    <row r="176">
      <c r="A176" s="26"/>
      <c r="C176" s="26"/>
      <c r="G176" s="26"/>
      <c r="K176" s="26"/>
    </row>
    <row r="177">
      <c r="A177" s="26"/>
      <c r="C177" s="26"/>
      <c r="G177" s="26"/>
      <c r="K177" s="26"/>
    </row>
    <row r="178">
      <c r="A178" s="26"/>
      <c r="C178" s="26"/>
      <c r="G178" s="26"/>
      <c r="K178" s="26"/>
    </row>
    <row r="179">
      <c r="A179" s="26"/>
      <c r="C179" s="26"/>
      <c r="G179" s="26"/>
      <c r="K179" s="26"/>
    </row>
    <row r="180">
      <c r="A180" s="26"/>
      <c r="C180" s="26"/>
      <c r="G180" s="26"/>
      <c r="K180" s="26"/>
    </row>
    <row r="181">
      <c r="A181" s="26"/>
      <c r="C181" s="26"/>
      <c r="G181" s="26"/>
      <c r="K181" s="26"/>
    </row>
    <row r="182">
      <c r="A182" s="26"/>
      <c r="C182" s="26"/>
      <c r="G182" s="26"/>
      <c r="K182" s="26"/>
    </row>
    <row r="183">
      <c r="A183" s="26"/>
      <c r="C183" s="26"/>
      <c r="G183" s="26"/>
      <c r="K183" s="26"/>
    </row>
    <row r="184">
      <c r="A184" s="26"/>
      <c r="C184" s="26"/>
      <c r="G184" s="26"/>
      <c r="K184" s="26"/>
    </row>
    <row r="185">
      <c r="A185" s="26"/>
      <c r="C185" s="26"/>
      <c r="G185" s="26"/>
      <c r="K185" s="26"/>
    </row>
    <row r="186">
      <c r="A186" s="26"/>
      <c r="C186" s="26"/>
      <c r="G186" s="26"/>
      <c r="K186" s="26"/>
    </row>
    <row r="187">
      <c r="A187" s="26"/>
      <c r="C187" s="26"/>
      <c r="G187" s="26"/>
      <c r="K187" s="26"/>
    </row>
    <row r="188">
      <c r="A188" s="26"/>
      <c r="C188" s="26"/>
      <c r="G188" s="26"/>
      <c r="K188" s="26"/>
    </row>
    <row r="189">
      <c r="A189" s="26"/>
      <c r="C189" s="26"/>
      <c r="G189" s="26"/>
      <c r="K189" s="26"/>
    </row>
    <row r="190">
      <c r="A190" s="26"/>
      <c r="C190" s="26"/>
      <c r="G190" s="26"/>
      <c r="K190" s="26"/>
    </row>
    <row r="191">
      <c r="A191" s="26"/>
      <c r="C191" s="26"/>
      <c r="G191" s="26"/>
      <c r="K191" s="26"/>
    </row>
    <row r="192">
      <c r="A192" s="26"/>
      <c r="C192" s="26"/>
      <c r="G192" s="26"/>
      <c r="K192" s="26"/>
    </row>
    <row r="193">
      <c r="A193" s="26"/>
      <c r="C193" s="26"/>
      <c r="G193" s="26"/>
      <c r="K193" s="26"/>
    </row>
    <row r="194">
      <c r="A194" s="26"/>
      <c r="C194" s="26"/>
      <c r="G194" s="26"/>
      <c r="K194" s="26"/>
    </row>
    <row r="195">
      <c r="A195" s="26"/>
      <c r="C195" s="26"/>
      <c r="G195" s="26"/>
      <c r="K195" s="26"/>
    </row>
    <row r="196">
      <c r="A196" s="26"/>
      <c r="C196" s="26"/>
      <c r="G196" s="26"/>
      <c r="K196" s="26"/>
    </row>
    <row r="197">
      <c r="A197" s="26"/>
      <c r="C197" s="26"/>
      <c r="G197" s="26"/>
      <c r="K197" s="26"/>
    </row>
    <row r="198">
      <c r="A198" s="26"/>
      <c r="C198" s="26"/>
      <c r="G198" s="26"/>
      <c r="K198" s="26"/>
    </row>
    <row r="199">
      <c r="A199" s="26"/>
      <c r="C199" s="26"/>
      <c r="G199" s="26"/>
      <c r="K199" s="26"/>
    </row>
    <row r="200">
      <c r="A200" s="26"/>
      <c r="C200" s="26"/>
      <c r="G200" s="26"/>
      <c r="K200" s="26"/>
    </row>
    <row r="201">
      <c r="A201" s="26"/>
      <c r="C201" s="26"/>
      <c r="G201" s="26"/>
      <c r="K201" s="26"/>
    </row>
    <row r="202">
      <c r="A202" s="26"/>
      <c r="C202" s="26"/>
      <c r="G202" s="26"/>
      <c r="K202" s="26"/>
    </row>
    <row r="203">
      <c r="A203" s="26"/>
      <c r="C203" s="26"/>
      <c r="G203" s="26"/>
      <c r="K203" s="26"/>
    </row>
    <row r="204">
      <c r="A204" s="26"/>
      <c r="C204" s="26"/>
      <c r="G204" s="26"/>
      <c r="K204" s="26"/>
    </row>
    <row r="205">
      <c r="A205" s="26"/>
      <c r="C205" s="26"/>
      <c r="G205" s="26"/>
      <c r="K205" s="26"/>
    </row>
    <row r="206">
      <c r="A206" s="26"/>
      <c r="C206" s="26"/>
      <c r="G206" s="26"/>
      <c r="K206" s="26"/>
    </row>
    <row r="207">
      <c r="A207" s="26"/>
      <c r="C207" s="26"/>
      <c r="G207" s="26"/>
      <c r="K207" s="26"/>
    </row>
    <row r="208">
      <c r="A208" s="26"/>
      <c r="C208" s="26"/>
      <c r="G208" s="26"/>
      <c r="K208" s="26"/>
    </row>
    <row r="209">
      <c r="A209" s="26"/>
      <c r="C209" s="26"/>
      <c r="G209" s="26"/>
      <c r="K209" s="26"/>
    </row>
    <row r="210">
      <c r="A210" s="26"/>
      <c r="C210" s="26"/>
      <c r="G210" s="26"/>
      <c r="K210" s="26"/>
    </row>
    <row r="211">
      <c r="A211" s="26"/>
      <c r="C211" s="26"/>
      <c r="G211" s="26"/>
      <c r="K211" s="26"/>
    </row>
    <row r="212">
      <c r="A212" s="26"/>
      <c r="C212" s="26"/>
      <c r="G212" s="26"/>
      <c r="K212" s="26"/>
    </row>
    <row r="213">
      <c r="A213" s="26"/>
      <c r="C213" s="26"/>
      <c r="G213" s="26"/>
      <c r="K213" s="26"/>
    </row>
    <row r="214">
      <c r="A214" s="26"/>
      <c r="C214" s="26"/>
      <c r="G214" s="26"/>
      <c r="K214" s="26"/>
    </row>
    <row r="215">
      <c r="A215" s="26"/>
      <c r="C215" s="26"/>
      <c r="G215" s="26"/>
      <c r="K215" s="26"/>
    </row>
    <row r="216">
      <c r="A216" s="26"/>
      <c r="C216" s="26"/>
      <c r="G216" s="26"/>
      <c r="K216" s="26"/>
    </row>
    <row r="217">
      <c r="A217" s="26"/>
      <c r="C217" s="26"/>
      <c r="G217" s="26"/>
      <c r="K217" s="26"/>
    </row>
    <row r="218">
      <c r="A218" s="26"/>
      <c r="C218" s="26"/>
      <c r="G218" s="26"/>
      <c r="K218" s="26"/>
    </row>
    <row r="219">
      <c r="A219" s="26"/>
      <c r="C219" s="26"/>
      <c r="G219" s="26"/>
      <c r="K219" s="26"/>
    </row>
    <row r="220">
      <c r="A220" s="26"/>
      <c r="C220" s="26"/>
      <c r="G220" s="26"/>
      <c r="K220" s="26"/>
    </row>
    <row r="221">
      <c r="A221" s="26"/>
      <c r="C221" s="26"/>
      <c r="G221" s="26"/>
      <c r="K221" s="26"/>
    </row>
    <row r="222">
      <c r="A222" s="26"/>
      <c r="C222" s="26"/>
      <c r="G222" s="26"/>
      <c r="K222" s="26"/>
    </row>
    <row r="223">
      <c r="A223" s="26"/>
      <c r="C223" s="26"/>
      <c r="G223" s="26"/>
      <c r="K223" s="26"/>
    </row>
    <row r="224">
      <c r="A224" s="26"/>
      <c r="C224" s="26"/>
      <c r="G224" s="26"/>
      <c r="K224" s="26"/>
    </row>
    <row r="225">
      <c r="A225" s="26"/>
      <c r="C225" s="26"/>
      <c r="G225" s="26"/>
      <c r="K225" s="26"/>
    </row>
    <row r="226">
      <c r="A226" s="26"/>
      <c r="C226" s="26"/>
      <c r="G226" s="26"/>
      <c r="K226" s="26"/>
    </row>
    <row r="227">
      <c r="A227" s="26"/>
      <c r="C227" s="26"/>
      <c r="G227" s="26"/>
      <c r="K227" s="26"/>
    </row>
    <row r="228">
      <c r="A228" s="26"/>
      <c r="C228" s="26"/>
      <c r="G228" s="26"/>
      <c r="K228" s="26"/>
    </row>
    <row r="229">
      <c r="A229" s="26"/>
      <c r="C229" s="26"/>
      <c r="G229" s="26"/>
      <c r="K229" s="26"/>
    </row>
    <row r="230">
      <c r="A230" s="26"/>
      <c r="C230" s="26"/>
      <c r="G230" s="26"/>
      <c r="K230" s="26"/>
    </row>
    <row r="231">
      <c r="A231" s="26"/>
      <c r="C231" s="26"/>
      <c r="G231" s="26"/>
      <c r="K231" s="26"/>
    </row>
    <row r="232">
      <c r="A232" s="26"/>
      <c r="C232" s="26"/>
      <c r="G232" s="26"/>
      <c r="K232" s="26"/>
    </row>
    <row r="233">
      <c r="A233" s="26"/>
      <c r="C233" s="26"/>
      <c r="G233" s="26"/>
      <c r="K233" s="26"/>
    </row>
    <row r="234">
      <c r="A234" s="26"/>
      <c r="C234" s="26"/>
      <c r="G234" s="26"/>
      <c r="K234" s="26"/>
    </row>
    <row r="235">
      <c r="A235" s="26"/>
      <c r="C235" s="26"/>
      <c r="G235" s="26"/>
      <c r="K235" s="26"/>
    </row>
    <row r="236">
      <c r="A236" s="26"/>
      <c r="C236" s="26"/>
      <c r="G236" s="26"/>
      <c r="K236" s="26"/>
    </row>
    <row r="237">
      <c r="A237" s="26"/>
      <c r="C237" s="26"/>
      <c r="G237" s="26"/>
      <c r="K237" s="26"/>
    </row>
    <row r="238">
      <c r="A238" s="26"/>
      <c r="C238" s="26"/>
      <c r="G238" s="26"/>
      <c r="K238" s="26"/>
    </row>
    <row r="239">
      <c r="A239" s="26"/>
      <c r="C239" s="26"/>
      <c r="G239" s="26"/>
      <c r="K239" s="26"/>
    </row>
    <row r="240">
      <c r="A240" s="26"/>
      <c r="C240" s="26"/>
      <c r="G240" s="26"/>
      <c r="K240" s="26"/>
    </row>
    <row r="241">
      <c r="A241" s="26"/>
      <c r="C241" s="26"/>
      <c r="G241" s="26"/>
      <c r="K241" s="26"/>
    </row>
    <row r="242">
      <c r="A242" s="26"/>
      <c r="C242" s="26"/>
      <c r="G242" s="26"/>
      <c r="K242" s="26"/>
    </row>
    <row r="243">
      <c r="A243" s="26"/>
      <c r="C243" s="26"/>
      <c r="G243" s="26"/>
      <c r="K243" s="26"/>
    </row>
    <row r="244">
      <c r="A244" s="26"/>
      <c r="C244" s="26"/>
      <c r="G244" s="26"/>
      <c r="K244" s="26"/>
    </row>
    <row r="245">
      <c r="A245" s="26"/>
      <c r="C245" s="26"/>
      <c r="G245" s="26"/>
      <c r="K245" s="26"/>
    </row>
    <row r="246">
      <c r="A246" s="26"/>
      <c r="C246" s="26"/>
      <c r="G246" s="26"/>
      <c r="K246" s="26"/>
    </row>
    <row r="247">
      <c r="A247" s="26"/>
      <c r="C247" s="26"/>
      <c r="G247" s="26"/>
      <c r="K247" s="26"/>
    </row>
    <row r="248">
      <c r="A248" s="26"/>
      <c r="C248" s="26"/>
      <c r="G248" s="26"/>
      <c r="K248" s="26"/>
    </row>
    <row r="249">
      <c r="A249" s="26"/>
      <c r="C249" s="26"/>
      <c r="G249" s="26"/>
      <c r="K249" s="26"/>
    </row>
    <row r="250">
      <c r="A250" s="26"/>
      <c r="C250" s="26"/>
      <c r="G250" s="26"/>
      <c r="K250" s="26"/>
    </row>
    <row r="251">
      <c r="A251" s="26"/>
      <c r="C251" s="26"/>
      <c r="G251" s="26"/>
      <c r="K251" s="26"/>
    </row>
    <row r="252">
      <c r="A252" s="26"/>
      <c r="C252" s="26"/>
      <c r="G252" s="26"/>
      <c r="K252" s="26"/>
    </row>
    <row r="253">
      <c r="A253" s="26"/>
      <c r="C253" s="26"/>
      <c r="G253" s="26"/>
      <c r="K253" s="26"/>
    </row>
    <row r="254">
      <c r="A254" s="26"/>
      <c r="C254" s="26"/>
      <c r="G254" s="26"/>
      <c r="K254" s="26"/>
    </row>
    <row r="255">
      <c r="A255" s="26"/>
      <c r="C255" s="26"/>
      <c r="G255" s="26"/>
      <c r="K255" s="26"/>
    </row>
    <row r="256">
      <c r="A256" s="26"/>
      <c r="C256" s="26"/>
      <c r="G256" s="26"/>
      <c r="K256" s="26"/>
    </row>
    <row r="257">
      <c r="A257" s="26"/>
      <c r="C257" s="26"/>
      <c r="G257" s="26"/>
      <c r="K257" s="26"/>
    </row>
    <row r="258">
      <c r="A258" s="26"/>
      <c r="C258" s="26"/>
      <c r="G258" s="26"/>
      <c r="K258" s="26"/>
    </row>
    <row r="259">
      <c r="A259" s="26"/>
      <c r="C259" s="26"/>
      <c r="G259" s="26"/>
      <c r="K259" s="26"/>
    </row>
    <row r="260">
      <c r="A260" s="26"/>
      <c r="C260" s="26"/>
      <c r="G260" s="26"/>
      <c r="K260" s="26"/>
    </row>
    <row r="261">
      <c r="A261" s="26"/>
      <c r="C261" s="26"/>
      <c r="G261" s="26"/>
      <c r="K261" s="26"/>
    </row>
    <row r="262">
      <c r="A262" s="26"/>
      <c r="C262" s="26"/>
      <c r="G262" s="26"/>
      <c r="K262" s="26"/>
    </row>
    <row r="263">
      <c r="A263" s="26"/>
      <c r="C263" s="26"/>
      <c r="G263" s="26"/>
      <c r="K263" s="26"/>
    </row>
    <row r="264">
      <c r="A264" s="26"/>
      <c r="C264" s="26"/>
      <c r="G264" s="26"/>
      <c r="K264" s="26"/>
    </row>
    <row r="265">
      <c r="A265" s="26"/>
      <c r="C265" s="26"/>
      <c r="G265" s="26"/>
      <c r="K265" s="26"/>
    </row>
    <row r="266">
      <c r="A266" s="26"/>
      <c r="C266" s="26"/>
      <c r="G266" s="26"/>
      <c r="K266" s="26"/>
    </row>
    <row r="267">
      <c r="A267" s="26"/>
      <c r="C267" s="26"/>
      <c r="G267" s="26"/>
      <c r="K267" s="26"/>
    </row>
    <row r="268">
      <c r="A268" s="26"/>
      <c r="C268" s="26"/>
      <c r="G268" s="26"/>
      <c r="K268" s="26"/>
    </row>
    <row r="269">
      <c r="A269" s="26"/>
      <c r="C269" s="26"/>
      <c r="G269" s="26"/>
      <c r="K269" s="26"/>
    </row>
    <row r="270">
      <c r="A270" s="26"/>
      <c r="C270" s="26"/>
      <c r="G270" s="26"/>
      <c r="K270" s="26"/>
    </row>
    <row r="271">
      <c r="A271" s="26"/>
      <c r="C271" s="26"/>
      <c r="G271" s="26"/>
      <c r="K271" s="26"/>
    </row>
    <row r="272">
      <c r="A272" s="26"/>
      <c r="C272" s="26"/>
      <c r="G272" s="26"/>
      <c r="K272" s="26"/>
    </row>
    <row r="273">
      <c r="A273" s="26"/>
      <c r="C273" s="26"/>
      <c r="G273" s="26"/>
      <c r="K273" s="26"/>
    </row>
    <row r="274">
      <c r="A274" s="26"/>
      <c r="C274" s="26"/>
      <c r="G274" s="26"/>
      <c r="K274" s="26"/>
    </row>
    <row r="275">
      <c r="A275" s="26"/>
      <c r="C275" s="26"/>
      <c r="G275" s="26"/>
      <c r="K275" s="26"/>
    </row>
    <row r="276">
      <c r="A276" s="26"/>
      <c r="C276" s="26"/>
      <c r="G276" s="26"/>
      <c r="K276" s="26"/>
    </row>
    <row r="277">
      <c r="A277" s="26"/>
      <c r="C277" s="26"/>
      <c r="G277" s="26"/>
      <c r="K277" s="26"/>
    </row>
    <row r="278">
      <c r="A278" s="26"/>
      <c r="C278" s="26"/>
      <c r="G278" s="26"/>
      <c r="K278" s="26"/>
    </row>
    <row r="279">
      <c r="A279" s="26"/>
      <c r="C279" s="26"/>
      <c r="G279" s="26"/>
      <c r="K279" s="26"/>
    </row>
    <row r="280">
      <c r="A280" s="26"/>
      <c r="C280" s="26"/>
      <c r="G280" s="26"/>
      <c r="K280" s="26"/>
    </row>
    <row r="281">
      <c r="A281" s="26"/>
      <c r="C281" s="26"/>
      <c r="G281" s="26"/>
      <c r="K281" s="26"/>
    </row>
    <row r="282">
      <c r="A282" s="26"/>
      <c r="C282" s="26"/>
      <c r="G282" s="26"/>
      <c r="K282" s="26"/>
    </row>
    <row r="283">
      <c r="A283" s="26"/>
      <c r="C283" s="26"/>
      <c r="G283" s="26"/>
      <c r="K283" s="26"/>
    </row>
    <row r="284">
      <c r="A284" s="26"/>
      <c r="C284" s="26"/>
      <c r="G284" s="26"/>
      <c r="K284" s="26"/>
    </row>
    <row r="285">
      <c r="A285" s="26"/>
      <c r="C285" s="26"/>
      <c r="G285" s="26"/>
      <c r="K285" s="26"/>
    </row>
    <row r="286">
      <c r="A286" s="26"/>
      <c r="C286" s="26"/>
      <c r="G286" s="26"/>
      <c r="K286" s="26"/>
    </row>
    <row r="287">
      <c r="A287" s="26"/>
      <c r="C287" s="26"/>
      <c r="G287" s="26"/>
      <c r="K287" s="26"/>
    </row>
    <row r="288">
      <c r="A288" s="26"/>
      <c r="C288" s="26"/>
      <c r="G288" s="26"/>
      <c r="K288" s="26"/>
    </row>
    <row r="289">
      <c r="A289" s="26"/>
      <c r="C289" s="26"/>
      <c r="G289" s="26"/>
      <c r="K289" s="26"/>
    </row>
    <row r="290">
      <c r="A290" s="26"/>
      <c r="C290" s="26"/>
      <c r="G290" s="26"/>
      <c r="K290" s="26"/>
    </row>
    <row r="291">
      <c r="A291" s="26"/>
      <c r="C291" s="26"/>
      <c r="G291" s="26"/>
      <c r="K291" s="26"/>
    </row>
    <row r="292">
      <c r="A292" s="26"/>
      <c r="C292" s="26"/>
      <c r="G292" s="26"/>
      <c r="K292" s="26"/>
    </row>
    <row r="293">
      <c r="A293" s="26"/>
      <c r="C293" s="26"/>
      <c r="G293" s="26"/>
      <c r="K293" s="26"/>
    </row>
    <row r="294">
      <c r="A294" s="26"/>
      <c r="C294" s="26"/>
      <c r="G294" s="26"/>
      <c r="K294" s="26"/>
    </row>
    <row r="295">
      <c r="A295" s="26"/>
      <c r="C295" s="26"/>
      <c r="G295" s="26"/>
      <c r="K295" s="26"/>
    </row>
    <row r="296">
      <c r="A296" s="26"/>
      <c r="C296" s="26"/>
      <c r="G296" s="26"/>
      <c r="K296" s="26"/>
    </row>
    <row r="297">
      <c r="A297" s="26"/>
      <c r="C297" s="26"/>
      <c r="G297" s="26"/>
      <c r="K297" s="26"/>
    </row>
    <row r="298">
      <c r="A298" s="26"/>
      <c r="C298" s="26"/>
      <c r="G298" s="26"/>
      <c r="K298" s="26"/>
    </row>
    <row r="299">
      <c r="A299" s="26"/>
      <c r="C299" s="26"/>
      <c r="G299" s="26"/>
      <c r="K299" s="26"/>
    </row>
    <row r="300">
      <c r="A300" s="26"/>
      <c r="C300" s="26"/>
      <c r="G300" s="26"/>
      <c r="K300" s="26"/>
    </row>
    <row r="301">
      <c r="A301" s="26"/>
      <c r="C301" s="26"/>
      <c r="G301" s="26"/>
      <c r="K301" s="26"/>
    </row>
    <row r="302">
      <c r="A302" s="26"/>
      <c r="C302" s="26"/>
      <c r="G302" s="26"/>
      <c r="K302" s="26"/>
    </row>
    <row r="303">
      <c r="A303" s="26"/>
      <c r="C303" s="26"/>
      <c r="G303" s="26"/>
      <c r="K303" s="26"/>
    </row>
    <row r="304">
      <c r="A304" s="26"/>
      <c r="C304" s="26"/>
      <c r="G304" s="26"/>
      <c r="K304" s="26"/>
    </row>
    <row r="305">
      <c r="A305" s="26"/>
      <c r="C305" s="26"/>
      <c r="G305" s="26"/>
      <c r="K305" s="26"/>
    </row>
    <row r="306">
      <c r="A306" s="26"/>
      <c r="C306" s="26"/>
      <c r="G306" s="26"/>
      <c r="K306" s="26"/>
    </row>
    <row r="307">
      <c r="A307" s="26"/>
      <c r="C307" s="26"/>
      <c r="G307" s="26"/>
      <c r="K307" s="26"/>
    </row>
    <row r="308">
      <c r="A308" s="26"/>
      <c r="C308" s="26"/>
      <c r="G308" s="26"/>
      <c r="K308" s="26"/>
    </row>
    <row r="309">
      <c r="A309" s="26"/>
      <c r="C309" s="26"/>
      <c r="G309" s="26"/>
      <c r="K309" s="26"/>
    </row>
    <row r="310">
      <c r="A310" s="26"/>
      <c r="C310" s="26"/>
      <c r="G310" s="26"/>
      <c r="K310" s="26"/>
    </row>
    <row r="311">
      <c r="A311" s="26"/>
      <c r="C311" s="26"/>
      <c r="G311" s="26"/>
      <c r="K311" s="26"/>
    </row>
    <row r="312">
      <c r="A312" s="26"/>
      <c r="C312" s="26"/>
      <c r="G312" s="26"/>
      <c r="K312" s="26"/>
    </row>
    <row r="313">
      <c r="A313" s="26"/>
      <c r="C313" s="26"/>
      <c r="G313" s="26"/>
      <c r="K313" s="26"/>
    </row>
    <row r="314">
      <c r="A314" s="26"/>
      <c r="C314" s="26"/>
      <c r="G314" s="26"/>
      <c r="K314" s="26"/>
    </row>
    <row r="315">
      <c r="A315" s="26"/>
      <c r="C315" s="26"/>
      <c r="G315" s="26"/>
      <c r="K315" s="26"/>
    </row>
    <row r="316">
      <c r="A316" s="26"/>
      <c r="C316" s="26"/>
      <c r="G316" s="26"/>
      <c r="K316" s="26"/>
    </row>
    <row r="317">
      <c r="A317" s="26"/>
      <c r="C317" s="26"/>
      <c r="G317" s="26"/>
      <c r="K317" s="26"/>
    </row>
    <row r="318">
      <c r="A318" s="26"/>
      <c r="C318" s="26"/>
      <c r="G318" s="26"/>
      <c r="K318" s="26"/>
    </row>
    <row r="319">
      <c r="A319" s="26"/>
      <c r="C319" s="26"/>
      <c r="G319" s="26"/>
      <c r="K319" s="26"/>
    </row>
    <row r="320">
      <c r="A320" s="26"/>
      <c r="C320" s="26"/>
      <c r="G320" s="26"/>
      <c r="K320" s="26"/>
    </row>
    <row r="321">
      <c r="A321" s="26"/>
      <c r="C321" s="26"/>
      <c r="G321" s="26"/>
      <c r="K321" s="26"/>
    </row>
    <row r="322">
      <c r="A322" s="26"/>
      <c r="C322" s="26"/>
      <c r="G322" s="26"/>
      <c r="K322" s="26"/>
    </row>
    <row r="323">
      <c r="A323" s="26"/>
      <c r="C323" s="26"/>
      <c r="G323" s="26"/>
      <c r="K323" s="26"/>
    </row>
    <row r="324">
      <c r="A324" s="26"/>
      <c r="C324" s="26"/>
      <c r="G324" s="26"/>
      <c r="K324" s="26"/>
    </row>
    <row r="325">
      <c r="A325" s="26"/>
      <c r="C325" s="26"/>
      <c r="G325" s="26"/>
      <c r="K325" s="26"/>
    </row>
    <row r="326">
      <c r="A326" s="26"/>
      <c r="C326" s="26"/>
      <c r="G326" s="26"/>
      <c r="K326" s="26"/>
    </row>
    <row r="327">
      <c r="A327" s="26"/>
      <c r="C327" s="26"/>
      <c r="G327" s="26"/>
      <c r="K327" s="26"/>
    </row>
    <row r="328">
      <c r="A328" s="26"/>
      <c r="C328" s="26"/>
      <c r="G328" s="26"/>
      <c r="K328" s="26"/>
    </row>
    <row r="329">
      <c r="A329" s="26"/>
      <c r="C329" s="26"/>
      <c r="G329" s="26"/>
      <c r="K329" s="26"/>
    </row>
    <row r="330">
      <c r="A330" s="26"/>
      <c r="C330" s="26"/>
      <c r="G330" s="26"/>
      <c r="K330" s="26"/>
    </row>
    <row r="331">
      <c r="A331" s="26"/>
      <c r="C331" s="26"/>
      <c r="G331" s="26"/>
      <c r="K331" s="26"/>
    </row>
    <row r="332">
      <c r="A332" s="26"/>
      <c r="C332" s="26"/>
      <c r="G332" s="26"/>
      <c r="K332" s="26"/>
    </row>
    <row r="333">
      <c r="A333" s="26"/>
      <c r="C333" s="26"/>
      <c r="G333" s="26"/>
      <c r="K333" s="26"/>
    </row>
    <row r="334">
      <c r="A334" s="26"/>
      <c r="C334" s="26"/>
      <c r="G334" s="26"/>
      <c r="K334" s="26"/>
    </row>
    <row r="335">
      <c r="A335" s="26"/>
      <c r="C335" s="26"/>
      <c r="G335" s="26"/>
      <c r="K335" s="26"/>
    </row>
    <row r="336">
      <c r="A336" s="26"/>
      <c r="C336" s="26"/>
      <c r="G336" s="26"/>
      <c r="K336" s="26"/>
    </row>
    <row r="337">
      <c r="A337" s="26"/>
      <c r="C337" s="26"/>
      <c r="G337" s="26"/>
      <c r="K337" s="26"/>
    </row>
    <row r="338">
      <c r="A338" s="26"/>
      <c r="C338" s="26"/>
      <c r="G338" s="26"/>
      <c r="K338" s="26"/>
    </row>
    <row r="339">
      <c r="A339" s="26"/>
      <c r="C339" s="26"/>
      <c r="G339" s="26"/>
      <c r="K339" s="26"/>
    </row>
    <row r="340">
      <c r="A340" s="26"/>
      <c r="C340" s="26"/>
      <c r="G340" s="26"/>
      <c r="K340" s="26"/>
    </row>
    <row r="341">
      <c r="A341" s="26"/>
      <c r="C341" s="26"/>
      <c r="G341" s="26"/>
      <c r="K341" s="26"/>
    </row>
    <row r="342">
      <c r="A342" s="26"/>
      <c r="C342" s="26"/>
      <c r="G342" s="26"/>
      <c r="K342" s="26"/>
    </row>
    <row r="343">
      <c r="A343" s="26"/>
      <c r="C343" s="26"/>
      <c r="G343" s="26"/>
      <c r="K343" s="26"/>
    </row>
    <row r="344">
      <c r="A344" s="26"/>
      <c r="C344" s="26"/>
      <c r="G344" s="26"/>
      <c r="K344" s="26"/>
    </row>
    <row r="345">
      <c r="A345" s="26"/>
      <c r="C345" s="26"/>
      <c r="G345" s="26"/>
      <c r="K345" s="26"/>
    </row>
    <row r="346">
      <c r="A346" s="26"/>
      <c r="C346" s="26"/>
      <c r="G346" s="26"/>
      <c r="K346" s="26"/>
    </row>
    <row r="347">
      <c r="A347" s="26"/>
      <c r="C347" s="26"/>
      <c r="G347" s="26"/>
      <c r="K347" s="26"/>
    </row>
    <row r="348">
      <c r="A348" s="26"/>
      <c r="C348" s="26"/>
      <c r="G348" s="26"/>
      <c r="K348" s="26"/>
    </row>
    <row r="349">
      <c r="A349" s="26"/>
      <c r="C349" s="26"/>
      <c r="G349" s="26"/>
      <c r="K349" s="26"/>
    </row>
    <row r="350">
      <c r="A350" s="26"/>
      <c r="C350" s="26"/>
      <c r="G350" s="26"/>
      <c r="K350" s="26"/>
    </row>
    <row r="351">
      <c r="A351" s="26"/>
      <c r="C351" s="26"/>
      <c r="G351" s="26"/>
      <c r="K351" s="26"/>
    </row>
    <row r="352">
      <c r="A352" s="26"/>
      <c r="C352" s="26"/>
      <c r="G352" s="26"/>
      <c r="K352" s="26"/>
    </row>
    <row r="353">
      <c r="A353" s="26"/>
      <c r="C353" s="26"/>
      <c r="G353" s="26"/>
      <c r="K353" s="26"/>
    </row>
    <row r="354">
      <c r="A354" s="26"/>
      <c r="C354" s="26"/>
      <c r="G354" s="26"/>
      <c r="K354" s="26"/>
    </row>
    <row r="355">
      <c r="A355" s="26"/>
      <c r="C355" s="26"/>
      <c r="G355" s="26"/>
      <c r="K355" s="26"/>
    </row>
    <row r="356">
      <c r="A356" s="26"/>
      <c r="C356" s="26"/>
      <c r="G356" s="26"/>
      <c r="K356" s="26"/>
    </row>
    <row r="357">
      <c r="A357" s="26"/>
      <c r="C357" s="26"/>
      <c r="G357" s="26"/>
      <c r="K357" s="26"/>
    </row>
    <row r="358">
      <c r="A358" s="26"/>
      <c r="C358" s="26"/>
      <c r="G358" s="26"/>
      <c r="K358" s="26"/>
    </row>
    <row r="359">
      <c r="A359" s="26"/>
      <c r="C359" s="26"/>
      <c r="G359" s="26"/>
      <c r="K359" s="26"/>
    </row>
    <row r="360">
      <c r="A360" s="26"/>
      <c r="C360" s="26"/>
      <c r="G360" s="26"/>
      <c r="K360" s="26"/>
    </row>
    <row r="361">
      <c r="A361" s="26"/>
      <c r="C361" s="26"/>
      <c r="G361" s="26"/>
      <c r="K361" s="26"/>
    </row>
    <row r="362">
      <c r="A362" s="26"/>
      <c r="C362" s="26"/>
      <c r="G362" s="26"/>
      <c r="K362" s="26"/>
    </row>
    <row r="363">
      <c r="A363" s="26"/>
      <c r="C363" s="26"/>
      <c r="G363" s="26"/>
      <c r="K363" s="26"/>
    </row>
    <row r="364">
      <c r="A364" s="26"/>
      <c r="C364" s="26"/>
      <c r="G364" s="26"/>
      <c r="K364" s="26"/>
    </row>
    <row r="365">
      <c r="A365" s="26"/>
      <c r="C365" s="26"/>
      <c r="G365" s="26"/>
      <c r="K365" s="26"/>
    </row>
    <row r="366">
      <c r="A366" s="26"/>
      <c r="C366" s="26"/>
      <c r="G366" s="26"/>
      <c r="K366" s="26"/>
    </row>
    <row r="367">
      <c r="A367" s="26"/>
      <c r="C367" s="26"/>
      <c r="G367" s="26"/>
      <c r="K367" s="26"/>
    </row>
    <row r="368">
      <c r="A368" s="26"/>
      <c r="C368" s="26"/>
      <c r="G368" s="26"/>
      <c r="K368" s="26"/>
    </row>
    <row r="369">
      <c r="A369" s="26"/>
      <c r="C369" s="26"/>
      <c r="G369" s="26"/>
      <c r="K369" s="26"/>
    </row>
    <row r="370">
      <c r="A370" s="26"/>
      <c r="C370" s="26"/>
      <c r="G370" s="26"/>
      <c r="K370" s="26"/>
    </row>
    <row r="371">
      <c r="A371" s="26"/>
      <c r="C371" s="26"/>
      <c r="G371" s="26"/>
      <c r="K371" s="26"/>
    </row>
    <row r="372">
      <c r="A372" s="26"/>
      <c r="C372" s="26"/>
      <c r="G372" s="26"/>
      <c r="K372" s="26"/>
    </row>
    <row r="373">
      <c r="A373" s="26"/>
      <c r="C373" s="26"/>
      <c r="G373" s="26"/>
      <c r="K373" s="26"/>
    </row>
    <row r="374">
      <c r="A374" s="26"/>
      <c r="C374" s="26"/>
      <c r="G374" s="26"/>
      <c r="K374" s="26"/>
    </row>
    <row r="375">
      <c r="A375" s="26"/>
      <c r="C375" s="26"/>
      <c r="G375" s="26"/>
      <c r="K375" s="26"/>
    </row>
    <row r="376">
      <c r="A376" s="26"/>
      <c r="C376" s="26"/>
      <c r="G376" s="26"/>
      <c r="K376" s="26"/>
    </row>
    <row r="377">
      <c r="A377" s="26"/>
      <c r="C377" s="26"/>
      <c r="G377" s="26"/>
      <c r="K377" s="26"/>
    </row>
    <row r="378">
      <c r="A378" s="26"/>
      <c r="C378" s="26"/>
      <c r="G378" s="26"/>
      <c r="K378" s="26"/>
    </row>
    <row r="379">
      <c r="A379" s="26"/>
      <c r="C379" s="26"/>
      <c r="G379" s="26"/>
      <c r="K379" s="26"/>
    </row>
    <row r="380">
      <c r="A380" s="26"/>
      <c r="C380" s="26"/>
      <c r="G380" s="26"/>
      <c r="K380" s="26"/>
    </row>
    <row r="381">
      <c r="A381" s="26"/>
      <c r="C381" s="26"/>
      <c r="G381" s="26"/>
      <c r="K381" s="26"/>
    </row>
    <row r="382">
      <c r="A382" s="26"/>
      <c r="C382" s="26"/>
      <c r="G382" s="26"/>
      <c r="K382" s="26"/>
    </row>
    <row r="383">
      <c r="A383" s="26"/>
      <c r="C383" s="26"/>
      <c r="G383" s="26"/>
      <c r="K383" s="26"/>
    </row>
    <row r="384">
      <c r="A384" s="26"/>
      <c r="C384" s="26"/>
      <c r="G384" s="26"/>
      <c r="K384" s="26"/>
    </row>
    <row r="385">
      <c r="A385" s="26"/>
      <c r="C385" s="26"/>
      <c r="G385" s="26"/>
      <c r="K385" s="26"/>
    </row>
    <row r="386">
      <c r="A386" s="26"/>
      <c r="C386" s="26"/>
      <c r="G386" s="26"/>
      <c r="K386" s="26"/>
    </row>
    <row r="387">
      <c r="A387" s="26"/>
      <c r="C387" s="26"/>
      <c r="G387" s="26"/>
      <c r="K387" s="26"/>
    </row>
    <row r="388">
      <c r="A388" s="26"/>
      <c r="C388" s="26"/>
      <c r="G388" s="26"/>
      <c r="K388" s="26"/>
    </row>
    <row r="389">
      <c r="A389" s="26"/>
      <c r="C389" s="26"/>
      <c r="G389" s="26"/>
      <c r="K389" s="26"/>
    </row>
    <row r="390">
      <c r="A390" s="26"/>
      <c r="C390" s="26"/>
      <c r="G390" s="26"/>
      <c r="K390" s="26"/>
    </row>
    <row r="391">
      <c r="A391" s="26"/>
      <c r="C391" s="26"/>
      <c r="G391" s="26"/>
      <c r="K391" s="26"/>
    </row>
    <row r="392">
      <c r="A392" s="26"/>
      <c r="C392" s="26"/>
      <c r="G392" s="26"/>
      <c r="K392" s="26"/>
    </row>
    <row r="393">
      <c r="A393" s="26"/>
      <c r="C393" s="26"/>
      <c r="G393" s="26"/>
      <c r="K393" s="26"/>
    </row>
    <row r="394">
      <c r="A394" s="26"/>
      <c r="C394" s="26"/>
      <c r="G394" s="26"/>
      <c r="K394" s="26"/>
    </row>
    <row r="395">
      <c r="A395" s="26"/>
      <c r="C395" s="26"/>
      <c r="G395" s="26"/>
      <c r="K395" s="26"/>
    </row>
    <row r="396">
      <c r="A396" s="26"/>
      <c r="C396" s="26"/>
      <c r="G396" s="26"/>
      <c r="K396" s="26"/>
    </row>
    <row r="397">
      <c r="A397" s="26"/>
      <c r="C397" s="26"/>
      <c r="G397" s="26"/>
      <c r="K397" s="26"/>
    </row>
    <row r="398">
      <c r="A398" s="26"/>
      <c r="C398" s="26"/>
      <c r="G398" s="26"/>
      <c r="K398" s="26"/>
    </row>
    <row r="399">
      <c r="A399" s="26"/>
      <c r="C399" s="26"/>
      <c r="G399" s="26"/>
      <c r="K399" s="26"/>
    </row>
    <row r="400">
      <c r="A400" s="26"/>
      <c r="C400" s="26"/>
      <c r="G400" s="26"/>
      <c r="K400" s="26"/>
    </row>
    <row r="401">
      <c r="A401" s="26"/>
      <c r="C401" s="26"/>
      <c r="G401" s="26"/>
      <c r="K401" s="26"/>
    </row>
    <row r="402">
      <c r="A402" s="26"/>
      <c r="C402" s="26"/>
      <c r="G402" s="26"/>
      <c r="K402" s="26"/>
    </row>
    <row r="403">
      <c r="A403" s="26"/>
      <c r="C403" s="26"/>
      <c r="G403" s="26"/>
      <c r="K403" s="26"/>
    </row>
    <row r="404">
      <c r="A404" s="26"/>
      <c r="C404" s="26"/>
      <c r="G404" s="26"/>
      <c r="K404" s="26"/>
    </row>
    <row r="405">
      <c r="A405" s="26"/>
      <c r="C405" s="26"/>
      <c r="G405" s="26"/>
      <c r="K405" s="26"/>
    </row>
    <row r="406">
      <c r="A406" s="26"/>
      <c r="C406" s="26"/>
      <c r="G406" s="26"/>
      <c r="K406" s="26"/>
    </row>
    <row r="407">
      <c r="A407" s="26"/>
      <c r="C407" s="26"/>
      <c r="G407" s="26"/>
      <c r="K407" s="26"/>
    </row>
    <row r="408">
      <c r="A408" s="26"/>
      <c r="C408" s="26"/>
      <c r="G408" s="26"/>
      <c r="K408" s="26"/>
    </row>
    <row r="409">
      <c r="A409" s="26"/>
      <c r="C409" s="26"/>
      <c r="G409" s="26"/>
      <c r="K409" s="26"/>
    </row>
    <row r="410">
      <c r="A410" s="26"/>
      <c r="C410" s="26"/>
      <c r="G410" s="26"/>
      <c r="K410" s="26"/>
    </row>
    <row r="411">
      <c r="A411" s="26"/>
      <c r="C411" s="26"/>
      <c r="G411" s="26"/>
      <c r="K411" s="26"/>
    </row>
    <row r="412">
      <c r="A412" s="26"/>
      <c r="C412" s="26"/>
      <c r="G412" s="26"/>
      <c r="K412" s="26"/>
    </row>
    <row r="413">
      <c r="A413" s="26"/>
      <c r="C413" s="26"/>
      <c r="G413" s="26"/>
      <c r="K413" s="26"/>
    </row>
    <row r="414">
      <c r="A414" s="26"/>
      <c r="C414" s="26"/>
      <c r="G414" s="26"/>
      <c r="K414" s="26"/>
    </row>
    <row r="415">
      <c r="A415" s="26"/>
      <c r="C415" s="26"/>
      <c r="G415" s="26"/>
      <c r="K415" s="26"/>
    </row>
    <row r="416">
      <c r="A416" s="26"/>
      <c r="C416" s="26"/>
      <c r="G416" s="26"/>
      <c r="K416" s="26"/>
    </row>
    <row r="417">
      <c r="A417" s="26"/>
      <c r="C417" s="26"/>
      <c r="G417" s="26"/>
      <c r="K417" s="26"/>
    </row>
    <row r="418">
      <c r="A418" s="26"/>
      <c r="C418" s="26"/>
      <c r="G418" s="26"/>
      <c r="K418" s="26"/>
    </row>
    <row r="419">
      <c r="A419" s="26"/>
      <c r="C419" s="26"/>
      <c r="G419" s="26"/>
      <c r="K419" s="26"/>
    </row>
    <row r="420">
      <c r="A420" s="26"/>
      <c r="C420" s="26"/>
      <c r="G420" s="26"/>
      <c r="K420" s="26"/>
    </row>
    <row r="421">
      <c r="A421" s="26"/>
      <c r="C421" s="26"/>
      <c r="G421" s="26"/>
      <c r="K421" s="26"/>
    </row>
    <row r="422">
      <c r="A422" s="26"/>
      <c r="C422" s="26"/>
      <c r="G422" s="26"/>
      <c r="K422" s="26"/>
    </row>
    <row r="423">
      <c r="A423" s="26"/>
      <c r="C423" s="26"/>
      <c r="G423" s="26"/>
      <c r="K423" s="26"/>
    </row>
    <row r="424">
      <c r="A424" s="26"/>
      <c r="C424" s="26"/>
      <c r="G424" s="26"/>
      <c r="K424" s="26"/>
    </row>
    <row r="425">
      <c r="A425" s="26"/>
      <c r="C425" s="26"/>
      <c r="G425" s="26"/>
      <c r="K425" s="26"/>
    </row>
    <row r="426">
      <c r="A426" s="26"/>
      <c r="C426" s="26"/>
      <c r="G426" s="26"/>
      <c r="K426" s="26"/>
    </row>
    <row r="427">
      <c r="A427" s="26"/>
      <c r="C427" s="26"/>
      <c r="G427" s="26"/>
      <c r="K427" s="26"/>
    </row>
    <row r="428">
      <c r="A428" s="26"/>
      <c r="C428" s="26"/>
      <c r="G428" s="26"/>
      <c r="K428" s="26"/>
    </row>
    <row r="429">
      <c r="A429" s="26"/>
      <c r="C429" s="26"/>
      <c r="G429" s="26"/>
      <c r="K429" s="26"/>
    </row>
    <row r="430">
      <c r="A430" s="26"/>
      <c r="C430" s="26"/>
      <c r="G430" s="26"/>
      <c r="K430" s="26"/>
    </row>
    <row r="431">
      <c r="A431" s="26"/>
      <c r="C431" s="26"/>
      <c r="G431" s="26"/>
      <c r="K431" s="26"/>
    </row>
    <row r="432">
      <c r="A432" s="26"/>
      <c r="C432" s="26"/>
      <c r="G432" s="26"/>
      <c r="K432" s="26"/>
    </row>
    <row r="433">
      <c r="A433" s="26"/>
      <c r="C433" s="26"/>
      <c r="G433" s="26"/>
      <c r="K433" s="26"/>
    </row>
    <row r="434">
      <c r="A434" s="26"/>
      <c r="C434" s="26"/>
      <c r="G434" s="26"/>
      <c r="K434" s="26"/>
    </row>
    <row r="435">
      <c r="A435" s="26"/>
      <c r="C435" s="26"/>
      <c r="G435" s="26"/>
      <c r="K435" s="26"/>
    </row>
    <row r="436">
      <c r="A436" s="26"/>
      <c r="C436" s="26"/>
      <c r="G436" s="26"/>
      <c r="K436" s="26"/>
    </row>
    <row r="437">
      <c r="A437" s="26"/>
      <c r="C437" s="26"/>
      <c r="G437" s="26"/>
      <c r="K437" s="26"/>
    </row>
    <row r="438">
      <c r="A438" s="26"/>
      <c r="C438" s="26"/>
      <c r="G438" s="26"/>
      <c r="K438" s="26"/>
    </row>
    <row r="439">
      <c r="A439" s="26"/>
      <c r="C439" s="26"/>
      <c r="G439" s="26"/>
      <c r="K439" s="26"/>
    </row>
    <row r="440">
      <c r="A440" s="26"/>
      <c r="C440" s="26"/>
      <c r="G440" s="26"/>
      <c r="K440" s="26"/>
    </row>
    <row r="441">
      <c r="A441" s="26"/>
      <c r="C441" s="26"/>
      <c r="G441" s="26"/>
      <c r="K441" s="26"/>
    </row>
    <row r="442">
      <c r="A442" s="26"/>
      <c r="C442" s="26"/>
      <c r="G442" s="26"/>
      <c r="K442" s="26"/>
    </row>
    <row r="443">
      <c r="A443" s="26"/>
      <c r="C443" s="26"/>
      <c r="G443" s="26"/>
      <c r="K443" s="26"/>
    </row>
    <row r="444">
      <c r="A444" s="26"/>
      <c r="C444" s="26"/>
      <c r="G444" s="26"/>
      <c r="K444" s="26"/>
    </row>
    <row r="445">
      <c r="A445" s="26"/>
      <c r="C445" s="26"/>
      <c r="G445" s="26"/>
      <c r="K445" s="26"/>
    </row>
    <row r="446">
      <c r="A446" s="26"/>
      <c r="C446" s="26"/>
      <c r="G446" s="26"/>
      <c r="K446" s="26"/>
    </row>
    <row r="447">
      <c r="A447" s="26"/>
      <c r="C447" s="26"/>
      <c r="G447" s="26"/>
      <c r="K447" s="26"/>
    </row>
    <row r="448">
      <c r="A448" s="26"/>
      <c r="C448" s="26"/>
      <c r="G448" s="26"/>
      <c r="K448" s="26"/>
    </row>
    <row r="449">
      <c r="A449" s="26"/>
      <c r="C449" s="26"/>
      <c r="G449" s="26"/>
      <c r="K449" s="26"/>
    </row>
    <row r="450">
      <c r="A450" s="26"/>
      <c r="C450" s="26"/>
      <c r="G450" s="26"/>
      <c r="K450" s="26"/>
    </row>
    <row r="451">
      <c r="A451" s="26"/>
      <c r="C451" s="26"/>
      <c r="G451" s="26"/>
      <c r="K451" s="26"/>
    </row>
    <row r="452">
      <c r="A452" s="26"/>
      <c r="C452" s="26"/>
      <c r="G452" s="26"/>
      <c r="K452" s="26"/>
    </row>
    <row r="453">
      <c r="A453" s="26"/>
      <c r="C453" s="26"/>
      <c r="G453" s="26"/>
      <c r="K453" s="26"/>
    </row>
    <row r="454">
      <c r="A454" s="26"/>
      <c r="C454" s="26"/>
      <c r="G454" s="26"/>
      <c r="K454" s="26"/>
    </row>
    <row r="455">
      <c r="A455" s="26"/>
      <c r="C455" s="26"/>
      <c r="G455" s="26"/>
      <c r="K455" s="26"/>
    </row>
    <row r="456">
      <c r="A456" s="26"/>
      <c r="C456" s="26"/>
      <c r="G456" s="26"/>
      <c r="K456" s="26"/>
    </row>
    <row r="457">
      <c r="A457" s="26"/>
      <c r="C457" s="26"/>
      <c r="G457" s="26"/>
      <c r="K457" s="26"/>
    </row>
    <row r="458">
      <c r="A458" s="26"/>
      <c r="C458" s="26"/>
      <c r="G458" s="26"/>
      <c r="K458" s="26"/>
    </row>
    <row r="459">
      <c r="A459" s="26"/>
      <c r="C459" s="26"/>
      <c r="G459" s="26"/>
      <c r="K459" s="26"/>
    </row>
    <row r="460">
      <c r="A460" s="26"/>
      <c r="C460" s="26"/>
      <c r="G460" s="26"/>
      <c r="K460" s="26"/>
    </row>
    <row r="461">
      <c r="A461" s="26"/>
      <c r="C461" s="26"/>
      <c r="G461" s="26"/>
      <c r="K461" s="26"/>
    </row>
    <row r="462">
      <c r="A462" s="26"/>
      <c r="C462" s="26"/>
      <c r="G462" s="26"/>
      <c r="K462" s="26"/>
    </row>
    <row r="463">
      <c r="A463" s="26"/>
      <c r="C463" s="26"/>
      <c r="G463" s="26"/>
      <c r="K463" s="26"/>
    </row>
    <row r="464">
      <c r="A464" s="26"/>
      <c r="C464" s="26"/>
      <c r="G464" s="26"/>
      <c r="K464" s="26"/>
    </row>
    <row r="465">
      <c r="A465" s="26"/>
      <c r="C465" s="26"/>
      <c r="G465" s="26"/>
      <c r="K465" s="26"/>
    </row>
    <row r="466">
      <c r="A466" s="26"/>
      <c r="C466" s="26"/>
      <c r="G466" s="26"/>
      <c r="K466" s="26"/>
    </row>
    <row r="467">
      <c r="A467" s="26"/>
      <c r="C467" s="26"/>
      <c r="G467" s="26"/>
      <c r="K467" s="26"/>
    </row>
    <row r="468">
      <c r="A468" s="26"/>
      <c r="C468" s="26"/>
      <c r="G468" s="26"/>
      <c r="K468" s="26"/>
    </row>
    <row r="469">
      <c r="A469" s="26"/>
      <c r="C469" s="26"/>
      <c r="G469" s="26"/>
      <c r="K469" s="26"/>
    </row>
    <row r="470">
      <c r="A470" s="26"/>
      <c r="C470" s="26"/>
      <c r="G470" s="26"/>
      <c r="K470" s="26"/>
    </row>
    <row r="471">
      <c r="A471" s="26"/>
      <c r="C471" s="26"/>
      <c r="G471" s="26"/>
      <c r="K471" s="26"/>
    </row>
    <row r="472">
      <c r="A472" s="26"/>
      <c r="C472" s="26"/>
      <c r="G472" s="26"/>
      <c r="K472" s="26"/>
    </row>
    <row r="473">
      <c r="A473" s="26"/>
      <c r="C473" s="26"/>
      <c r="G473" s="26"/>
      <c r="K473" s="26"/>
    </row>
    <row r="474">
      <c r="A474" s="26"/>
      <c r="C474" s="26"/>
      <c r="G474" s="26"/>
      <c r="K474" s="26"/>
    </row>
    <row r="475">
      <c r="A475" s="26"/>
      <c r="C475" s="26"/>
      <c r="G475" s="26"/>
      <c r="K475" s="26"/>
    </row>
    <row r="476">
      <c r="A476" s="26"/>
      <c r="C476" s="26"/>
      <c r="G476" s="26"/>
      <c r="K476" s="26"/>
    </row>
    <row r="477">
      <c r="A477" s="26"/>
      <c r="C477" s="26"/>
      <c r="G477" s="26"/>
      <c r="K477" s="26"/>
    </row>
    <row r="478">
      <c r="A478" s="26"/>
      <c r="C478" s="26"/>
      <c r="G478" s="26"/>
      <c r="K478" s="26"/>
    </row>
    <row r="479">
      <c r="A479" s="26"/>
      <c r="C479" s="26"/>
      <c r="G479" s="26"/>
      <c r="K479" s="26"/>
    </row>
    <row r="480">
      <c r="A480" s="26"/>
      <c r="C480" s="26"/>
      <c r="G480" s="26"/>
      <c r="K480" s="26"/>
    </row>
    <row r="481">
      <c r="A481" s="26"/>
      <c r="C481" s="26"/>
      <c r="G481" s="26"/>
      <c r="K481" s="26"/>
    </row>
    <row r="482">
      <c r="A482" s="26"/>
      <c r="C482" s="26"/>
      <c r="G482" s="26"/>
      <c r="K482" s="26"/>
    </row>
    <row r="483">
      <c r="A483" s="26"/>
      <c r="C483" s="26"/>
      <c r="G483" s="26"/>
      <c r="K483" s="26"/>
    </row>
    <row r="484">
      <c r="A484" s="26"/>
      <c r="C484" s="26"/>
      <c r="G484" s="26"/>
      <c r="K484" s="26"/>
    </row>
    <row r="485">
      <c r="A485" s="26"/>
      <c r="C485" s="26"/>
      <c r="G485" s="26"/>
      <c r="K485" s="26"/>
    </row>
    <row r="486">
      <c r="A486" s="26"/>
      <c r="C486" s="26"/>
      <c r="G486" s="26"/>
      <c r="K486" s="26"/>
    </row>
    <row r="487">
      <c r="A487" s="26"/>
      <c r="C487" s="26"/>
      <c r="G487" s="26"/>
      <c r="K487" s="26"/>
    </row>
    <row r="488">
      <c r="A488" s="26"/>
      <c r="C488" s="26"/>
      <c r="G488" s="26"/>
      <c r="K488" s="26"/>
    </row>
    <row r="489">
      <c r="A489" s="26"/>
      <c r="C489" s="26"/>
      <c r="G489" s="26"/>
      <c r="K489" s="26"/>
    </row>
    <row r="490">
      <c r="A490" s="26"/>
      <c r="C490" s="26"/>
      <c r="G490" s="26"/>
      <c r="K490" s="26"/>
    </row>
    <row r="491">
      <c r="A491" s="26"/>
      <c r="C491" s="26"/>
      <c r="G491" s="26"/>
      <c r="K491" s="26"/>
    </row>
    <row r="492">
      <c r="A492" s="26"/>
      <c r="C492" s="26"/>
      <c r="G492" s="26"/>
      <c r="K492" s="26"/>
    </row>
    <row r="493">
      <c r="A493" s="26"/>
      <c r="C493" s="26"/>
      <c r="G493" s="26"/>
      <c r="K493" s="26"/>
    </row>
    <row r="494">
      <c r="A494" s="26"/>
      <c r="C494" s="26"/>
      <c r="G494" s="26"/>
      <c r="K494" s="26"/>
    </row>
    <row r="495">
      <c r="A495" s="26"/>
      <c r="C495" s="26"/>
      <c r="G495" s="26"/>
      <c r="K495" s="26"/>
    </row>
    <row r="496">
      <c r="A496" s="26"/>
      <c r="C496" s="26"/>
      <c r="G496" s="26"/>
      <c r="K496" s="26"/>
    </row>
    <row r="497">
      <c r="A497" s="26"/>
      <c r="C497" s="26"/>
      <c r="G497" s="26"/>
      <c r="K497" s="26"/>
    </row>
    <row r="498">
      <c r="A498" s="26"/>
      <c r="C498" s="26"/>
      <c r="G498" s="26"/>
      <c r="K498" s="26"/>
    </row>
    <row r="499">
      <c r="A499" s="26"/>
      <c r="C499" s="26"/>
      <c r="G499" s="26"/>
      <c r="K499" s="26"/>
    </row>
    <row r="500">
      <c r="A500" s="26"/>
      <c r="C500" s="26"/>
      <c r="G500" s="26"/>
      <c r="K500" s="26"/>
    </row>
    <row r="501">
      <c r="A501" s="26"/>
      <c r="C501" s="26"/>
      <c r="G501" s="26"/>
      <c r="K501" s="26"/>
    </row>
    <row r="502">
      <c r="A502" s="26"/>
      <c r="C502" s="26"/>
      <c r="G502" s="26"/>
      <c r="K502" s="26"/>
    </row>
    <row r="503">
      <c r="A503" s="26"/>
      <c r="C503" s="26"/>
      <c r="G503" s="26"/>
      <c r="K503" s="26"/>
    </row>
    <row r="504">
      <c r="A504" s="26"/>
      <c r="C504" s="26"/>
      <c r="G504" s="26"/>
      <c r="K504" s="26"/>
    </row>
    <row r="505">
      <c r="A505" s="26"/>
      <c r="C505" s="26"/>
      <c r="G505" s="26"/>
      <c r="K505" s="26"/>
    </row>
    <row r="506">
      <c r="A506" s="26"/>
      <c r="C506" s="26"/>
      <c r="G506" s="26"/>
      <c r="K506" s="26"/>
    </row>
    <row r="507">
      <c r="A507" s="26"/>
      <c r="C507" s="26"/>
      <c r="G507" s="26"/>
      <c r="K507" s="26"/>
    </row>
    <row r="508">
      <c r="A508" s="26"/>
      <c r="C508" s="26"/>
      <c r="G508" s="26"/>
      <c r="K508" s="26"/>
    </row>
    <row r="509">
      <c r="A509" s="26"/>
      <c r="C509" s="26"/>
      <c r="G509" s="26"/>
      <c r="K509" s="26"/>
    </row>
    <row r="510">
      <c r="A510" s="26"/>
      <c r="C510" s="26"/>
      <c r="G510" s="26"/>
      <c r="K510" s="26"/>
    </row>
    <row r="511">
      <c r="A511" s="26"/>
      <c r="C511" s="26"/>
      <c r="G511" s="26"/>
      <c r="K511" s="26"/>
    </row>
    <row r="512">
      <c r="A512" s="26"/>
      <c r="C512" s="26"/>
      <c r="G512" s="26"/>
      <c r="K512" s="26"/>
    </row>
    <row r="513">
      <c r="A513" s="26"/>
      <c r="C513" s="26"/>
      <c r="G513" s="26"/>
      <c r="K513" s="26"/>
    </row>
    <row r="514">
      <c r="A514" s="26"/>
      <c r="C514" s="26"/>
      <c r="G514" s="26"/>
      <c r="K514" s="26"/>
    </row>
    <row r="515">
      <c r="A515" s="26"/>
      <c r="C515" s="26"/>
      <c r="G515" s="26"/>
      <c r="K515" s="26"/>
    </row>
    <row r="516">
      <c r="A516" s="26"/>
      <c r="C516" s="26"/>
      <c r="G516" s="26"/>
      <c r="K516" s="26"/>
    </row>
    <row r="517">
      <c r="A517" s="26"/>
      <c r="C517" s="26"/>
      <c r="G517" s="26"/>
      <c r="K517" s="26"/>
    </row>
    <row r="518">
      <c r="A518" s="26"/>
      <c r="C518" s="26"/>
      <c r="G518" s="26"/>
      <c r="K518" s="26"/>
    </row>
    <row r="519">
      <c r="A519" s="26"/>
      <c r="C519" s="26"/>
      <c r="G519" s="26"/>
      <c r="K519" s="26"/>
    </row>
    <row r="520">
      <c r="A520" s="26"/>
      <c r="C520" s="26"/>
      <c r="G520" s="26"/>
      <c r="K520" s="26"/>
    </row>
    <row r="521">
      <c r="A521" s="26"/>
      <c r="C521" s="26"/>
      <c r="G521" s="26"/>
      <c r="K521" s="26"/>
    </row>
    <row r="522">
      <c r="A522" s="26"/>
      <c r="C522" s="26"/>
      <c r="G522" s="26"/>
      <c r="K522" s="26"/>
    </row>
    <row r="523">
      <c r="A523" s="26"/>
      <c r="C523" s="26"/>
      <c r="G523" s="26"/>
      <c r="K523" s="26"/>
    </row>
    <row r="524">
      <c r="A524" s="26"/>
      <c r="C524" s="26"/>
      <c r="G524" s="26"/>
      <c r="K524" s="26"/>
    </row>
    <row r="525">
      <c r="A525" s="26"/>
      <c r="C525" s="26"/>
      <c r="G525" s="26"/>
      <c r="K525" s="26"/>
    </row>
    <row r="526">
      <c r="A526" s="26"/>
      <c r="C526" s="26"/>
      <c r="G526" s="26"/>
      <c r="K526" s="26"/>
    </row>
    <row r="527">
      <c r="A527" s="26"/>
      <c r="C527" s="26"/>
      <c r="G527" s="26"/>
      <c r="K527" s="26"/>
    </row>
    <row r="528">
      <c r="A528" s="26"/>
      <c r="C528" s="26"/>
      <c r="G528" s="26"/>
      <c r="K528" s="26"/>
    </row>
    <row r="529">
      <c r="A529" s="26"/>
      <c r="C529" s="26"/>
      <c r="G529" s="26"/>
      <c r="K529" s="26"/>
    </row>
    <row r="530">
      <c r="A530" s="26"/>
      <c r="C530" s="26"/>
      <c r="G530" s="26"/>
      <c r="K530" s="26"/>
    </row>
    <row r="531">
      <c r="A531" s="26"/>
      <c r="C531" s="26"/>
      <c r="G531" s="26"/>
      <c r="K531" s="26"/>
    </row>
    <row r="532">
      <c r="A532" s="26"/>
      <c r="C532" s="26"/>
      <c r="G532" s="26"/>
      <c r="K532" s="26"/>
    </row>
    <row r="533">
      <c r="A533" s="26"/>
      <c r="C533" s="26"/>
      <c r="G533" s="26"/>
      <c r="K533" s="26"/>
    </row>
    <row r="534">
      <c r="A534" s="26"/>
      <c r="C534" s="26"/>
      <c r="G534" s="26"/>
      <c r="K534" s="26"/>
    </row>
    <row r="535">
      <c r="A535" s="26"/>
      <c r="C535" s="26"/>
      <c r="G535" s="26"/>
      <c r="K535" s="26"/>
    </row>
    <row r="536">
      <c r="A536" s="26"/>
      <c r="C536" s="26"/>
      <c r="G536" s="26"/>
      <c r="K536" s="26"/>
    </row>
    <row r="537">
      <c r="A537" s="26"/>
      <c r="C537" s="26"/>
      <c r="G537" s="26"/>
      <c r="K537" s="26"/>
    </row>
    <row r="538">
      <c r="A538" s="26"/>
      <c r="C538" s="26"/>
      <c r="G538" s="26"/>
      <c r="K538" s="26"/>
    </row>
    <row r="539">
      <c r="A539" s="26"/>
      <c r="C539" s="26"/>
      <c r="G539" s="26"/>
      <c r="K539" s="26"/>
    </row>
    <row r="540">
      <c r="A540" s="26"/>
      <c r="C540" s="26"/>
      <c r="G540" s="26"/>
      <c r="K540" s="26"/>
    </row>
    <row r="541">
      <c r="A541" s="26"/>
      <c r="C541" s="26"/>
      <c r="G541" s="26"/>
      <c r="K541" s="26"/>
    </row>
    <row r="542">
      <c r="A542" s="26"/>
      <c r="C542" s="26"/>
      <c r="G542" s="26"/>
      <c r="K542" s="26"/>
    </row>
    <row r="543">
      <c r="A543" s="26"/>
      <c r="C543" s="26"/>
      <c r="G543" s="26"/>
      <c r="K543" s="26"/>
    </row>
    <row r="544">
      <c r="A544" s="26"/>
      <c r="C544" s="26"/>
      <c r="G544" s="26"/>
      <c r="K544" s="26"/>
    </row>
    <row r="545">
      <c r="A545" s="26"/>
      <c r="C545" s="26"/>
      <c r="G545" s="26"/>
      <c r="K545" s="26"/>
    </row>
    <row r="546">
      <c r="A546" s="26"/>
      <c r="C546" s="26"/>
      <c r="G546" s="26"/>
      <c r="K546" s="26"/>
    </row>
    <row r="547">
      <c r="A547" s="26"/>
      <c r="C547" s="26"/>
      <c r="G547" s="26"/>
      <c r="K547" s="26"/>
    </row>
    <row r="548">
      <c r="A548" s="26"/>
      <c r="C548" s="26"/>
      <c r="G548" s="26"/>
      <c r="K548" s="26"/>
    </row>
    <row r="549">
      <c r="A549" s="26"/>
      <c r="C549" s="26"/>
      <c r="G549" s="26"/>
      <c r="K549" s="26"/>
    </row>
    <row r="550">
      <c r="A550" s="26"/>
      <c r="C550" s="26"/>
      <c r="G550" s="26"/>
      <c r="K550" s="26"/>
    </row>
    <row r="551">
      <c r="A551" s="26"/>
      <c r="C551" s="26"/>
      <c r="G551" s="26"/>
      <c r="K551" s="26"/>
    </row>
    <row r="552">
      <c r="A552" s="26"/>
      <c r="C552" s="26"/>
      <c r="G552" s="26"/>
      <c r="K552" s="26"/>
    </row>
    <row r="553">
      <c r="A553" s="26"/>
      <c r="C553" s="26"/>
      <c r="G553" s="26"/>
      <c r="K553" s="26"/>
    </row>
    <row r="554">
      <c r="A554" s="26"/>
      <c r="C554" s="26"/>
      <c r="G554" s="26"/>
      <c r="K554" s="26"/>
    </row>
    <row r="555">
      <c r="A555" s="26"/>
      <c r="C555" s="26"/>
      <c r="G555" s="26"/>
      <c r="K555" s="26"/>
    </row>
    <row r="556">
      <c r="A556" s="26"/>
      <c r="C556" s="26"/>
      <c r="G556" s="26"/>
      <c r="K556" s="26"/>
    </row>
    <row r="557">
      <c r="A557" s="26"/>
      <c r="C557" s="26"/>
      <c r="G557" s="26"/>
      <c r="K557" s="26"/>
    </row>
    <row r="558">
      <c r="A558" s="26"/>
      <c r="C558" s="26"/>
      <c r="G558" s="26"/>
      <c r="K558" s="26"/>
    </row>
    <row r="559">
      <c r="A559" s="26"/>
      <c r="C559" s="26"/>
      <c r="G559" s="26"/>
      <c r="K559" s="26"/>
    </row>
    <row r="560">
      <c r="A560" s="26"/>
      <c r="C560" s="26"/>
      <c r="G560" s="26"/>
      <c r="K560" s="26"/>
    </row>
    <row r="561">
      <c r="A561" s="26"/>
      <c r="C561" s="26"/>
      <c r="G561" s="26"/>
      <c r="K561" s="26"/>
    </row>
    <row r="562">
      <c r="A562" s="26"/>
      <c r="C562" s="26"/>
      <c r="G562" s="26"/>
      <c r="K562" s="26"/>
    </row>
    <row r="563">
      <c r="A563" s="26"/>
      <c r="C563" s="26"/>
      <c r="G563" s="26"/>
      <c r="K563" s="26"/>
    </row>
    <row r="564">
      <c r="A564" s="26"/>
      <c r="C564" s="26"/>
      <c r="G564" s="26"/>
      <c r="K564" s="26"/>
    </row>
    <row r="565">
      <c r="A565" s="26"/>
      <c r="C565" s="26"/>
      <c r="G565" s="26"/>
      <c r="K565" s="26"/>
    </row>
    <row r="566">
      <c r="A566" s="26"/>
      <c r="C566" s="26"/>
      <c r="G566" s="26"/>
      <c r="K566" s="26"/>
    </row>
    <row r="567">
      <c r="A567" s="26"/>
      <c r="C567" s="26"/>
      <c r="G567" s="26"/>
      <c r="K567" s="26"/>
    </row>
    <row r="568">
      <c r="A568" s="26"/>
      <c r="C568" s="26"/>
      <c r="G568" s="26"/>
      <c r="K568" s="26"/>
    </row>
    <row r="569">
      <c r="A569" s="26"/>
      <c r="C569" s="26"/>
      <c r="G569" s="26"/>
      <c r="K569" s="26"/>
    </row>
    <row r="570">
      <c r="A570" s="26"/>
      <c r="C570" s="26"/>
      <c r="G570" s="26"/>
      <c r="K570" s="26"/>
    </row>
    <row r="571">
      <c r="A571" s="26"/>
      <c r="C571" s="26"/>
      <c r="G571" s="26"/>
      <c r="K571" s="26"/>
    </row>
    <row r="572">
      <c r="A572" s="26"/>
      <c r="C572" s="26"/>
      <c r="G572" s="26"/>
      <c r="K572" s="26"/>
    </row>
    <row r="573">
      <c r="A573" s="26"/>
      <c r="C573" s="26"/>
      <c r="G573" s="26"/>
      <c r="K573" s="26"/>
    </row>
    <row r="574">
      <c r="A574" s="26"/>
      <c r="C574" s="26"/>
      <c r="G574" s="26"/>
      <c r="K574" s="26"/>
    </row>
    <row r="575">
      <c r="A575" s="26"/>
      <c r="C575" s="26"/>
      <c r="G575" s="26"/>
      <c r="K575" s="26"/>
    </row>
    <row r="576">
      <c r="A576" s="26"/>
      <c r="C576" s="26"/>
      <c r="G576" s="26"/>
      <c r="K576" s="26"/>
    </row>
    <row r="577">
      <c r="A577" s="26"/>
      <c r="C577" s="26"/>
      <c r="G577" s="26"/>
      <c r="K577" s="26"/>
    </row>
    <row r="578">
      <c r="A578" s="26"/>
      <c r="C578" s="26"/>
      <c r="G578" s="26"/>
      <c r="K578" s="26"/>
    </row>
    <row r="579">
      <c r="A579" s="26"/>
      <c r="C579" s="26"/>
      <c r="G579" s="26"/>
      <c r="K579" s="26"/>
    </row>
    <row r="580">
      <c r="A580" s="26"/>
      <c r="C580" s="26"/>
      <c r="G580" s="26"/>
      <c r="K580" s="26"/>
    </row>
    <row r="581">
      <c r="A581" s="26"/>
      <c r="C581" s="26"/>
      <c r="G581" s="26"/>
      <c r="K581" s="26"/>
    </row>
    <row r="582">
      <c r="A582" s="26"/>
      <c r="C582" s="26"/>
      <c r="G582" s="26"/>
      <c r="K582" s="26"/>
    </row>
    <row r="583">
      <c r="A583" s="26"/>
      <c r="C583" s="26"/>
      <c r="G583" s="26"/>
      <c r="K583" s="26"/>
    </row>
    <row r="584">
      <c r="A584" s="26"/>
      <c r="C584" s="26"/>
      <c r="G584" s="26"/>
      <c r="K584" s="26"/>
    </row>
    <row r="585">
      <c r="A585" s="26"/>
      <c r="C585" s="26"/>
      <c r="G585" s="26"/>
      <c r="K585" s="26"/>
    </row>
    <row r="586">
      <c r="A586" s="26"/>
      <c r="C586" s="26"/>
      <c r="G586" s="26"/>
      <c r="K586" s="26"/>
    </row>
    <row r="587">
      <c r="A587" s="26"/>
      <c r="C587" s="26"/>
      <c r="G587" s="26"/>
      <c r="K587" s="26"/>
    </row>
    <row r="588">
      <c r="A588" s="26"/>
      <c r="C588" s="26"/>
      <c r="G588" s="26"/>
      <c r="K588" s="26"/>
    </row>
    <row r="589">
      <c r="A589" s="26"/>
      <c r="C589" s="26"/>
      <c r="G589" s="26"/>
      <c r="K589" s="26"/>
    </row>
    <row r="590">
      <c r="A590" s="26"/>
      <c r="C590" s="26"/>
      <c r="G590" s="26"/>
      <c r="K590" s="26"/>
    </row>
    <row r="591">
      <c r="A591" s="26"/>
      <c r="C591" s="26"/>
      <c r="G591" s="26"/>
      <c r="K591" s="26"/>
    </row>
    <row r="592">
      <c r="A592" s="26"/>
      <c r="C592" s="26"/>
      <c r="G592" s="26"/>
      <c r="K592" s="26"/>
    </row>
    <row r="593">
      <c r="A593" s="26"/>
      <c r="C593" s="26"/>
      <c r="G593" s="26"/>
      <c r="K593" s="26"/>
    </row>
    <row r="594">
      <c r="A594" s="26"/>
      <c r="C594" s="26"/>
      <c r="G594" s="26"/>
      <c r="K594" s="26"/>
    </row>
    <row r="595">
      <c r="A595" s="26"/>
      <c r="C595" s="26"/>
      <c r="G595" s="26"/>
      <c r="K595" s="26"/>
    </row>
    <row r="596">
      <c r="A596" s="26"/>
      <c r="C596" s="26"/>
      <c r="G596" s="26"/>
      <c r="K596" s="26"/>
    </row>
    <row r="597">
      <c r="A597" s="26"/>
      <c r="C597" s="26"/>
      <c r="G597" s="26"/>
      <c r="K597" s="26"/>
    </row>
    <row r="598">
      <c r="A598" s="26"/>
      <c r="C598" s="26"/>
      <c r="G598" s="26"/>
      <c r="K598" s="26"/>
    </row>
    <row r="599">
      <c r="A599" s="26"/>
      <c r="C599" s="26"/>
      <c r="G599" s="26"/>
      <c r="K599" s="26"/>
    </row>
    <row r="600">
      <c r="A600" s="26"/>
      <c r="C600" s="26"/>
      <c r="G600" s="26"/>
      <c r="K600" s="26"/>
    </row>
    <row r="601">
      <c r="A601" s="26"/>
      <c r="C601" s="26"/>
      <c r="G601" s="26"/>
      <c r="K601" s="26"/>
    </row>
    <row r="602">
      <c r="A602" s="26"/>
      <c r="C602" s="26"/>
      <c r="G602" s="26"/>
      <c r="K602" s="26"/>
    </row>
    <row r="603">
      <c r="A603" s="26"/>
      <c r="C603" s="26"/>
      <c r="G603" s="26"/>
      <c r="K603" s="26"/>
    </row>
    <row r="604">
      <c r="A604" s="26"/>
      <c r="C604" s="26"/>
      <c r="G604" s="26"/>
      <c r="K604" s="26"/>
    </row>
    <row r="605">
      <c r="A605" s="26"/>
      <c r="C605" s="26"/>
      <c r="G605" s="26"/>
      <c r="K605" s="26"/>
    </row>
    <row r="606">
      <c r="A606" s="26"/>
      <c r="C606" s="26"/>
      <c r="G606" s="26"/>
      <c r="K606" s="26"/>
    </row>
    <row r="607">
      <c r="A607" s="26"/>
      <c r="C607" s="26"/>
      <c r="G607" s="26"/>
      <c r="K607" s="26"/>
    </row>
    <row r="608">
      <c r="A608" s="26"/>
      <c r="C608" s="26"/>
      <c r="G608" s="26"/>
      <c r="K608" s="26"/>
    </row>
    <row r="609">
      <c r="A609" s="26"/>
      <c r="C609" s="26"/>
      <c r="G609" s="26"/>
      <c r="K609" s="26"/>
    </row>
    <row r="610">
      <c r="A610" s="26"/>
      <c r="C610" s="26"/>
      <c r="G610" s="26"/>
      <c r="K610" s="26"/>
    </row>
    <row r="611">
      <c r="A611" s="26"/>
      <c r="C611" s="26"/>
      <c r="G611" s="26"/>
      <c r="K611" s="26"/>
    </row>
    <row r="612">
      <c r="A612" s="26"/>
      <c r="C612" s="26"/>
      <c r="G612" s="26"/>
      <c r="K612" s="26"/>
    </row>
    <row r="613">
      <c r="A613" s="26"/>
      <c r="C613" s="26"/>
      <c r="G613" s="26"/>
      <c r="K613" s="26"/>
    </row>
    <row r="614">
      <c r="A614" s="26"/>
      <c r="C614" s="26"/>
      <c r="G614" s="26"/>
      <c r="K614" s="26"/>
    </row>
    <row r="615">
      <c r="A615" s="26"/>
      <c r="C615" s="26"/>
      <c r="G615" s="26"/>
      <c r="K615" s="26"/>
    </row>
    <row r="616">
      <c r="A616" s="26"/>
      <c r="C616" s="26"/>
      <c r="G616" s="26"/>
      <c r="K616" s="26"/>
    </row>
    <row r="617">
      <c r="A617" s="26"/>
      <c r="C617" s="26"/>
      <c r="G617" s="26"/>
      <c r="K617" s="26"/>
    </row>
    <row r="618">
      <c r="A618" s="26"/>
      <c r="C618" s="26"/>
      <c r="G618" s="26"/>
      <c r="K618" s="26"/>
    </row>
    <row r="619">
      <c r="A619" s="26"/>
      <c r="C619" s="26"/>
      <c r="G619" s="26"/>
      <c r="K619" s="26"/>
    </row>
    <row r="620">
      <c r="A620" s="26"/>
      <c r="C620" s="26"/>
      <c r="G620" s="26"/>
      <c r="K620" s="26"/>
    </row>
    <row r="621">
      <c r="A621" s="26"/>
      <c r="C621" s="26"/>
      <c r="G621" s="26"/>
      <c r="K621" s="26"/>
    </row>
    <row r="622">
      <c r="A622" s="26"/>
      <c r="C622" s="26"/>
      <c r="G622" s="26"/>
      <c r="K622" s="26"/>
    </row>
    <row r="623">
      <c r="A623" s="26"/>
      <c r="C623" s="26"/>
      <c r="G623" s="26"/>
      <c r="K623" s="26"/>
    </row>
    <row r="624">
      <c r="A624" s="26"/>
      <c r="C624" s="26"/>
      <c r="G624" s="26"/>
      <c r="K624" s="26"/>
    </row>
    <row r="625">
      <c r="A625" s="26"/>
      <c r="C625" s="26"/>
      <c r="G625" s="26"/>
      <c r="K625" s="26"/>
    </row>
    <row r="626">
      <c r="A626" s="26"/>
      <c r="C626" s="26"/>
      <c r="G626" s="26"/>
      <c r="K626" s="26"/>
    </row>
    <row r="627">
      <c r="A627" s="26"/>
      <c r="C627" s="26"/>
      <c r="G627" s="26"/>
      <c r="K627" s="26"/>
    </row>
    <row r="628">
      <c r="A628" s="26"/>
      <c r="C628" s="26"/>
      <c r="G628" s="26"/>
      <c r="K628" s="26"/>
    </row>
    <row r="629">
      <c r="A629" s="26"/>
      <c r="C629" s="26"/>
      <c r="G629" s="26"/>
      <c r="K629" s="26"/>
    </row>
    <row r="630">
      <c r="A630" s="26"/>
      <c r="C630" s="26"/>
      <c r="G630" s="26"/>
      <c r="K630" s="26"/>
    </row>
    <row r="631">
      <c r="A631" s="26"/>
      <c r="C631" s="26"/>
      <c r="G631" s="26"/>
      <c r="K631" s="26"/>
    </row>
    <row r="632">
      <c r="A632" s="26"/>
      <c r="C632" s="26"/>
      <c r="G632" s="26"/>
      <c r="K632" s="26"/>
    </row>
    <row r="633">
      <c r="A633" s="26"/>
      <c r="C633" s="26"/>
      <c r="G633" s="26"/>
      <c r="K633" s="26"/>
    </row>
    <row r="634">
      <c r="A634" s="26"/>
      <c r="C634" s="26"/>
      <c r="G634" s="26"/>
      <c r="K634" s="26"/>
    </row>
    <row r="635">
      <c r="A635" s="26"/>
      <c r="C635" s="26"/>
      <c r="G635" s="26"/>
      <c r="K635" s="26"/>
    </row>
    <row r="636">
      <c r="A636" s="26"/>
      <c r="C636" s="26"/>
      <c r="G636" s="26"/>
      <c r="K636" s="26"/>
    </row>
    <row r="637">
      <c r="A637" s="26"/>
      <c r="C637" s="26"/>
      <c r="G637" s="26"/>
      <c r="K637" s="26"/>
    </row>
    <row r="638">
      <c r="A638" s="26"/>
      <c r="C638" s="26"/>
      <c r="G638" s="26"/>
      <c r="K638" s="26"/>
    </row>
    <row r="639">
      <c r="A639" s="26"/>
      <c r="C639" s="26"/>
      <c r="G639" s="26"/>
      <c r="K639" s="26"/>
    </row>
    <row r="640">
      <c r="A640" s="26"/>
      <c r="C640" s="26"/>
      <c r="G640" s="26"/>
      <c r="K640" s="26"/>
    </row>
    <row r="641">
      <c r="A641" s="26"/>
      <c r="C641" s="26"/>
      <c r="G641" s="26"/>
      <c r="K641" s="26"/>
    </row>
    <row r="642">
      <c r="A642" s="26"/>
      <c r="C642" s="26"/>
      <c r="G642" s="26"/>
      <c r="K642" s="26"/>
    </row>
    <row r="643">
      <c r="A643" s="26"/>
      <c r="C643" s="26"/>
      <c r="G643" s="26"/>
      <c r="K643" s="26"/>
    </row>
    <row r="644">
      <c r="A644" s="26"/>
      <c r="C644" s="26"/>
      <c r="G644" s="26"/>
      <c r="K644" s="26"/>
    </row>
    <row r="645">
      <c r="A645" s="26"/>
      <c r="C645" s="26"/>
      <c r="G645" s="26"/>
      <c r="K645" s="26"/>
    </row>
    <row r="646">
      <c r="A646" s="26"/>
      <c r="C646" s="26"/>
      <c r="G646" s="26"/>
      <c r="K646" s="26"/>
    </row>
    <row r="647">
      <c r="A647" s="26"/>
      <c r="C647" s="26"/>
      <c r="G647" s="26"/>
      <c r="K647" s="26"/>
    </row>
    <row r="648">
      <c r="A648" s="26"/>
      <c r="C648" s="26"/>
      <c r="G648" s="26"/>
      <c r="K648" s="26"/>
    </row>
    <row r="649">
      <c r="A649" s="26"/>
      <c r="C649" s="26"/>
      <c r="G649" s="26"/>
      <c r="K649" s="26"/>
    </row>
    <row r="650">
      <c r="A650" s="26"/>
      <c r="C650" s="26"/>
      <c r="G650" s="26"/>
      <c r="K650" s="26"/>
    </row>
    <row r="651">
      <c r="A651" s="26"/>
      <c r="C651" s="26"/>
      <c r="G651" s="26"/>
      <c r="K651" s="26"/>
    </row>
    <row r="652">
      <c r="A652" s="26"/>
      <c r="C652" s="26"/>
      <c r="G652" s="26"/>
      <c r="K652" s="26"/>
    </row>
    <row r="653">
      <c r="A653" s="26"/>
      <c r="C653" s="26"/>
      <c r="G653" s="26"/>
      <c r="K653" s="26"/>
    </row>
    <row r="654">
      <c r="A654" s="26"/>
      <c r="C654" s="26"/>
      <c r="G654" s="26"/>
      <c r="K654" s="26"/>
    </row>
    <row r="655">
      <c r="A655" s="26"/>
      <c r="C655" s="26"/>
      <c r="G655" s="26"/>
      <c r="K655" s="26"/>
    </row>
    <row r="656">
      <c r="A656" s="26"/>
      <c r="C656" s="26"/>
      <c r="G656" s="26"/>
      <c r="K656" s="26"/>
    </row>
    <row r="657">
      <c r="A657" s="26"/>
      <c r="C657" s="26"/>
      <c r="G657" s="26"/>
      <c r="K657" s="26"/>
    </row>
    <row r="658">
      <c r="A658" s="26"/>
      <c r="C658" s="26"/>
      <c r="G658" s="26"/>
      <c r="K658" s="26"/>
    </row>
    <row r="659">
      <c r="A659" s="26"/>
      <c r="C659" s="26"/>
      <c r="G659" s="26"/>
      <c r="K659" s="26"/>
    </row>
    <row r="660">
      <c r="A660" s="26"/>
      <c r="C660" s="26"/>
      <c r="G660" s="26"/>
      <c r="K660" s="26"/>
    </row>
    <row r="661">
      <c r="A661" s="26"/>
      <c r="C661" s="26"/>
      <c r="G661" s="26"/>
      <c r="K661" s="26"/>
    </row>
    <row r="662">
      <c r="A662" s="26"/>
      <c r="C662" s="26"/>
      <c r="G662" s="26"/>
      <c r="K662" s="26"/>
    </row>
    <row r="663">
      <c r="A663" s="26"/>
      <c r="C663" s="26"/>
      <c r="G663" s="26"/>
      <c r="K663" s="26"/>
    </row>
    <row r="664">
      <c r="A664" s="26"/>
      <c r="C664" s="26"/>
      <c r="G664" s="26"/>
      <c r="K664" s="26"/>
    </row>
    <row r="665">
      <c r="A665" s="26"/>
      <c r="C665" s="26"/>
      <c r="G665" s="26"/>
      <c r="K665" s="26"/>
    </row>
    <row r="666">
      <c r="A666" s="26"/>
      <c r="C666" s="26"/>
      <c r="G666" s="26"/>
      <c r="K666" s="26"/>
    </row>
    <row r="667">
      <c r="A667" s="26"/>
      <c r="C667" s="26"/>
      <c r="G667" s="26"/>
      <c r="K667" s="26"/>
    </row>
    <row r="668">
      <c r="A668" s="26"/>
      <c r="C668" s="26"/>
      <c r="G668" s="26"/>
      <c r="K668" s="26"/>
    </row>
    <row r="669">
      <c r="A669" s="26"/>
      <c r="C669" s="26"/>
      <c r="G669" s="26"/>
      <c r="K669" s="26"/>
    </row>
    <row r="670">
      <c r="A670" s="26"/>
      <c r="C670" s="26"/>
      <c r="G670" s="26"/>
      <c r="K670" s="26"/>
    </row>
    <row r="671">
      <c r="A671" s="26"/>
      <c r="C671" s="26"/>
      <c r="G671" s="26"/>
      <c r="K671" s="26"/>
    </row>
    <row r="672">
      <c r="A672" s="26"/>
      <c r="C672" s="26"/>
      <c r="G672" s="26"/>
      <c r="K672" s="26"/>
    </row>
    <row r="673">
      <c r="A673" s="26"/>
      <c r="C673" s="26"/>
      <c r="G673" s="26"/>
      <c r="K673" s="26"/>
    </row>
    <row r="674">
      <c r="A674" s="26"/>
      <c r="C674" s="26"/>
      <c r="G674" s="26"/>
      <c r="K674" s="26"/>
    </row>
    <row r="675">
      <c r="A675" s="26"/>
      <c r="C675" s="26"/>
      <c r="G675" s="26"/>
      <c r="K675" s="26"/>
    </row>
    <row r="676">
      <c r="A676" s="26"/>
      <c r="C676" s="26"/>
      <c r="G676" s="26"/>
      <c r="K676" s="26"/>
    </row>
    <row r="677">
      <c r="A677" s="26"/>
      <c r="C677" s="26"/>
      <c r="G677" s="26"/>
      <c r="K677" s="26"/>
    </row>
    <row r="678">
      <c r="A678" s="26"/>
      <c r="C678" s="26"/>
      <c r="G678" s="26"/>
      <c r="K678" s="26"/>
    </row>
    <row r="679">
      <c r="A679" s="26"/>
      <c r="C679" s="26"/>
      <c r="G679" s="26"/>
      <c r="K679" s="26"/>
    </row>
    <row r="680">
      <c r="A680" s="26"/>
      <c r="C680" s="26"/>
      <c r="G680" s="26"/>
      <c r="K680" s="26"/>
    </row>
    <row r="681">
      <c r="A681" s="26"/>
      <c r="C681" s="26"/>
      <c r="G681" s="26"/>
      <c r="K681" s="26"/>
    </row>
    <row r="682">
      <c r="A682" s="26"/>
      <c r="C682" s="26"/>
      <c r="G682" s="26"/>
      <c r="K682" s="26"/>
    </row>
    <row r="683">
      <c r="A683" s="26"/>
      <c r="C683" s="26"/>
      <c r="G683" s="26"/>
      <c r="K683" s="26"/>
    </row>
    <row r="684">
      <c r="A684" s="26"/>
      <c r="C684" s="26"/>
      <c r="G684" s="26"/>
      <c r="K684" s="26"/>
    </row>
    <row r="685">
      <c r="A685" s="26"/>
      <c r="C685" s="26"/>
      <c r="G685" s="26"/>
      <c r="K685" s="26"/>
    </row>
    <row r="686">
      <c r="A686" s="26"/>
      <c r="C686" s="26"/>
      <c r="G686" s="26"/>
      <c r="K686" s="26"/>
    </row>
    <row r="687">
      <c r="A687" s="26"/>
      <c r="C687" s="26"/>
      <c r="G687" s="26"/>
      <c r="K687" s="26"/>
    </row>
    <row r="688">
      <c r="A688" s="26"/>
      <c r="C688" s="26"/>
      <c r="G688" s="26"/>
      <c r="K688" s="26"/>
    </row>
    <row r="689">
      <c r="A689" s="26"/>
      <c r="C689" s="26"/>
      <c r="G689" s="26"/>
      <c r="K689" s="26"/>
    </row>
    <row r="690">
      <c r="A690" s="26"/>
      <c r="C690" s="26"/>
      <c r="G690" s="26"/>
      <c r="K690" s="26"/>
    </row>
    <row r="691">
      <c r="A691" s="26"/>
      <c r="C691" s="26"/>
      <c r="G691" s="26"/>
      <c r="K691" s="26"/>
    </row>
    <row r="692">
      <c r="A692" s="26"/>
      <c r="C692" s="26"/>
      <c r="G692" s="26"/>
      <c r="K692" s="26"/>
    </row>
    <row r="693">
      <c r="A693" s="26"/>
      <c r="C693" s="26"/>
      <c r="G693" s="26"/>
      <c r="K693" s="26"/>
    </row>
    <row r="694">
      <c r="A694" s="26"/>
      <c r="C694" s="26"/>
      <c r="G694" s="26"/>
      <c r="K694" s="26"/>
    </row>
    <row r="695">
      <c r="A695" s="26"/>
      <c r="C695" s="26"/>
      <c r="G695" s="26"/>
      <c r="K695" s="26"/>
    </row>
    <row r="696">
      <c r="A696" s="26"/>
      <c r="C696" s="26"/>
      <c r="G696" s="26"/>
      <c r="K696" s="26"/>
    </row>
    <row r="697">
      <c r="A697" s="26"/>
      <c r="C697" s="26"/>
      <c r="G697" s="26"/>
      <c r="K697" s="26"/>
    </row>
    <row r="698">
      <c r="A698" s="26"/>
      <c r="C698" s="26"/>
      <c r="G698" s="26"/>
      <c r="K698" s="26"/>
    </row>
    <row r="699">
      <c r="A699" s="26"/>
      <c r="C699" s="26"/>
      <c r="G699" s="26"/>
      <c r="K699" s="26"/>
    </row>
    <row r="700">
      <c r="A700" s="26"/>
      <c r="C700" s="26"/>
      <c r="G700" s="26"/>
      <c r="K700" s="26"/>
    </row>
    <row r="701">
      <c r="A701" s="26"/>
      <c r="C701" s="26"/>
      <c r="G701" s="26"/>
      <c r="K701" s="26"/>
    </row>
    <row r="702">
      <c r="A702" s="26"/>
      <c r="C702" s="26"/>
      <c r="G702" s="26"/>
      <c r="K702" s="26"/>
    </row>
    <row r="703">
      <c r="A703" s="26"/>
      <c r="C703" s="26"/>
      <c r="G703" s="26"/>
      <c r="K703" s="26"/>
    </row>
    <row r="704">
      <c r="A704" s="26"/>
      <c r="C704" s="26"/>
      <c r="G704" s="26"/>
      <c r="K704" s="26"/>
    </row>
    <row r="705">
      <c r="A705" s="26"/>
      <c r="C705" s="26"/>
      <c r="G705" s="26"/>
      <c r="K705" s="26"/>
    </row>
    <row r="706">
      <c r="A706" s="26"/>
      <c r="C706" s="26"/>
      <c r="G706" s="26"/>
      <c r="K706" s="26"/>
    </row>
    <row r="707">
      <c r="A707" s="26"/>
      <c r="C707" s="26"/>
      <c r="G707" s="26"/>
      <c r="K707" s="26"/>
    </row>
    <row r="708">
      <c r="A708" s="26"/>
      <c r="C708" s="26"/>
      <c r="G708" s="26"/>
      <c r="K708" s="26"/>
    </row>
    <row r="709">
      <c r="A709" s="26"/>
      <c r="C709" s="26"/>
      <c r="G709" s="26"/>
      <c r="K709" s="26"/>
    </row>
    <row r="710">
      <c r="A710" s="26"/>
      <c r="C710" s="26"/>
      <c r="G710" s="26"/>
      <c r="K710" s="26"/>
    </row>
    <row r="711">
      <c r="A711" s="26"/>
      <c r="C711" s="26"/>
      <c r="G711" s="26"/>
      <c r="K711" s="26"/>
    </row>
    <row r="712">
      <c r="A712" s="26"/>
      <c r="C712" s="26"/>
      <c r="G712" s="26"/>
      <c r="K712" s="26"/>
    </row>
    <row r="713">
      <c r="A713" s="26"/>
      <c r="C713" s="26"/>
      <c r="G713" s="26"/>
      <c r="K713" s="26"/>
    </row>
    <row r="714">
      <c r="A714" s="26"/>
      <c r="C714" s="26"/>
      <c r="G714" s="26"/>
      <c r="K714" s="26"/>
    </row>
    <row r="715">
      <c r="A715" s="26"/>
      <c r="C715" s="26"/>
      <c r="G715" s="26"/>
      <c r="K715" s="26"/>
    </row>
    <row r="716">
      <c r="A716" s="26"/>
      <c r="C716" s="26"/>
      <c r="G716" s="26"/>
      <c r="K716" s="26"/>
    </row>
    <row r="717">
      <c r="A717" s="26"/>
      <c r="C717" s="26"/>
      <c r="G717" s="26"/>
      <c r="K717" s="26"/>
    </row>
    <row r="718">
      <c r="A718" s="26"/>
      <c r="C718" s="26"/>
      <c r="G718" s="26"/>
      <c r="K718" s="26"/>
    </row>
    <row r="719">
      <c r="A719" s="26"/>
      <c r="C719" s="26"/>
      <c r="G719" s="26"/>
      <c r="K719" s="26"/>
    </row>
    <row r="720">
      <c r="A720" s="26"/>
      <c r="C720" s="26"/>
      <c r="G720" s="26"/>
      <c r="K720" s="26"/>
    </row>
    <row r="721">
      <c r="A721" s="26"/>
      <c r="C721" s="26"/>
      <c r="G721" s="26"/>
      <c r="K721" s="26"/>
    </row>
    <row r="722">
      <c r="A722" s="26"/>
      <c r="C722" s="26"/>
      <c r="G722" s="26"/>
      <c r="K722" s="26"/>
    </row>
    <row r="723">
      <c r="A723" s="26"/>
      <c r="C723" s="26"/>
      <c r="G723" s="26"/>
      <c r="K723" s="26"/>
    </row>
    <row r="724">
      <c r="A724" s="26"/>
      <c r="C724" s="26"/>
      <c r="G724" s="26"/>
      <c r="K724" s="26"/>
    </row>
    <row r="725">
      <c r="A725" s="26"/>
      <c r="C725" s="26"/>
      <c r="G725" s="26"/>
      <c r="K725" s="26"/>
    </row>
    <row r="726">
      <c r="A726" s="26"/>
      <c r="C726" s="26"/>
      <c r="G726" s="26"/>
      <c r="K726" s="26"/>
    </row>
    <row r="727">
      <c r="A727" s="26"/>
      <c r="C727" s="26"/>
      <c r="G727" s="26"/>
      <c r="K727" s="26"/>
    </row>
    <row r="728">
      <c r="A728" s="26"/>
      <c r="C728" s="26"/>
      <c r="G728" s="26"/>
      <c r="K728" s="26"/>
    </row>
    <row r="729">
      <c r="A729" s="26"/>
      <c r="C729" s="26"/>
      <c r="G729" s="26"/>
      <c r="K729" s="26"/>
    </row>
    <row r="730">
      <c r="A730" s="26"/>
      <c r="C730" s="26"/>
      <c r="G730" s="26"/>
      <c r="K730" s="26"/>
    </row>
    <row r="731">
      <c r="A731" s="26"/>
      <c r="C731" s="26"/>
      <c r="G731" s="26"/>
      <c r="K731" s="26"/>
    </row>
    <row r="732">
      <c r="A732" s="26"/>
      <c r="C732" s="26"/>
      <c r="G732" s="26"/>
      <c r="K732" s="26"/>
    </row>
    <row r="733">
      <c r="A733" s="26"/>
      <c r="C733" s="26"/>
      <c r="G733" s="26"/>
      <c r="K733" s="26"/>
    </row>
    <row r="734">
      <c r="A734" s="26"/>
      <c r="C734" s="26"/>
      <c r="G734" s="26"/>
      <c r="K734" s="26"/>
    </row>
    <row r="735">
      <c r="A735" s="26"/>
      <c r="C735" s="26"/>
      <c r="G735" s="26"/>
      <c r="K735" s="26"/>
    </row>
    <row r="736">
      <c r="A736" s="26"/>
      <c r="C736" s="26"/>
      <c r="G736" s="26"/>
      <c r="K736" s="26"/>
    </row>
    <row r="737">
      <c r="A737" s="26"/>
      <c r="C737" s="26"/>
      <c r="G737" s="26"/>
      <c r="K737" s="26"/>
    </row>
    <row r="738">
      <c r="A738" s="26"/>
      <c r="C738" s="26"/>
      <c r="G738" s="26"/>
      <c r="K738" s="26"/>
    </row>
    <row r="739">
      <c r="A739" s="26"/>
      <c r="C739" s="26"/>
      <c r="G739" s="26"/>
      <c r="K739" s="26"/>
    </row>
    <row r="740">
      <c r="A740" s="26"/>
      <c r="C740" s="26"/>
      <c r="G740" s="26"/>
      <c r="K740" s="26"/>
    </row>
    <row r="741">
      <c r="A741" s="26"/>
      <c r="C741" s="26"/>
      <c r="G741" s="26"/>
      <c r="K741" s="26"/>
    </row>
    <row r="742">
      <c r="A742" s="26"/>
      <c r="C742" s="26"/>
      <c r="G742" s="26"/>
      <c r="K742" s="26"/>
    </row>
    <row r="743">
      <c r="A743" s="26"/>
      <c r="C743" s="26"/>
      <c r="G743" s="26"/>
      <c r="K743" s="26"/>
    </row>
    <row r="744">
      <c r="A744" s="26"/>
      <c r="C744" s="26"/>
      <c r="G744" s="26"/>
      <c r="K744" s="26"/>
    </row>
    <row r="745">
      <c r="A745" s="26"/>
      <c r="C745" s="26"/>
      <c r="G745" s="26"/>
      <c r="K745" s="26"/>
    </row>
    <row r="746">
      <c r="A746" s="26"/>
      <c r="C746" s="26"/>
      <c r="G746" s="26"/>
      <c r="K746" s="26"/>
    </row>
    <row r="747">
      <c r="A747" s="26"/>
      <c r="C747" s="26"/>
      <c r="G747" s="26"/>
      <c r="K747" s="26"/>
    </row>
    <row r="748">
      <c r="A748" s="26"/>
      <c r="C748" s="26"/>
      <c r="G748" s="26"/>
      <c r="K748" s="26"/>
    </row>
    <row r="749">
      <c r="A749" s="26"/>
      <c r="C749" s="26"/>
      <c r="G749" s="26"/>
      <c r="K749" s="26"/>
    </row>
    <row r="750">
      <c r="A750" s="26"/>
      <c r="C750" s="26"/>
      <c r="G750" s="26"/>
      <c r="K750" s="26"/>
    </row>
    <row r="751">
      <c r="A751" s="26"/>
      <c r="C751" s="26"/>
      <c r="G751" s="26"/>
      <c r="K751" s="26"/>
    </row>
    <row r="752">
      <c r="A752" s="26"/>
      <c r="C752" s="26"/>
      <c r="G752" s="26"/>
      <c r="K752" s="26"/>
    </row>
    <row r="753">
      <c r="A753" s="26"/>
      <c r="C753" s="26"/>
      <c r="G753" s="26"/>
      <c r="K753" s="26"/>
    </row>
    <row r="754">
      <c r="A754" s="26"/>
      <c r="C754" s="26"/>
      <c r="G754" s="26"/>
      <c r="K754" s="26"/>
    </row>
    <row r="755">
      <c r="A755" s="26"/>
      <c r="C755" s="26"/>
      <c r="G755" s="26"/>
      <c r="K755" s="26"/>
    </row>
    <row r="756">
      <c r="A756" s="26"/>
      <c r="C756" s="26"/>
      <c r="G756" s="26"/>
      <c r="K756" s="26"/>
    </row>
    <row r="757">
      <c r="A757" s="26"/>
      <c r="C757" s="26"/>
      <c r="G757" s="26"/>
      <c r="K757" s="26"/>
    </row>
    <row r="758">
      <c r="A758" s="26"/>
      <c r="C758" s="26"/>
      <c r="G758" s="26"/>
      <c r="K758" s="26"/>
    </row>
    <row r="759">
      <c r="A759" s="26"/>
      <c r="C759" s="26"/>
      <c r="G759" s="26"/>
      <c r="K759" s="26"/>
    </row>
    <row r="760">
      <c r="A760" s="26"/>
      <c r="C760" s="26"/>
      <c r="G760" s="26"/>
      <c r="K760" s="26"/>
    </row>
    <row r="761">
      <c r="A761" s="26"/>
      <c r="C761" s="26"/>
      <c r="G761" s="26"/>
      <c r="K761" s="26"/>
    </row>
    <row r="762">
      <c r="A762" s="26"/>
      <c r="C762" s="26"/>
      <c r="G762" s="26"/>
      <c r="K762" s="26"/>
    </row>
    <row r="763">
      <c r="A763" s="26"/>
      <c r="C763" s="26"/>
      <c r="G763" s="26"/>
      <c r="K763" s="26"/>
    </row>
    <row r="764">
      <c r="A764" s="26"/>
      <c r="C764" s="26"/>
      <c r="G764" s="26"/>
      <c r="K764" s="26"/>
    </row>
    <row r="765">
      <c r="A765" s="26"/>
      <c r="C765" s="26"/>
      <c r="G765" s="26"/>
      <c r="K765" s="26"/>
    </row>
    <row r="766">
      <c r="A766" s="26"/>
      <c r="C766" s="26"/>
      <c r="G766" s="26"/>
      <c r="K766" s="26"/>
    </row>
    <row r="767">
      <c r="A767" s="26"/>
      <c r="C767" s="26"/>
      <c r="G767" s="26"/>
      <c r="K767" s="26"/>
    </row>
    <row r="768">
      <c r="A768" s="26"/>
      <c r="C768" s="26"/>
      <c r="G768" s="26"/>
      <c r="K768" s="26"/>
    </row>
    <row r="769">
      <c r="A769" s="26"/>
      <c r="C769" s="26"/>
      <c r="G769" s="26"/>
      <c r="K769" s="26"/>
    </row>
    <row r="770">
      <c r="A770" s="26"/>
      <c r="C770" s="26"/>
      <c r="G770" s="26"/>
      <c r="K770" s="26"/>
    </row>
    <row r="771">
      <c r="A771" s="26"/>
      <c r="C771" s="26"/>
      <c r="G771" s="26"/>
      <c r="K771" s="26"/>
    </row>
    <row r="772">
      <c r="A772" s="26"/>
      <c r="C772" s="26"/>
      <c r="G772" s="26"/>
      <c r="K772" s="26"/>
    </row>
    <row r="773">
      <c r="A773" s="26"/>
      <c r="C773" s="26"/>
      <c r="G773" s="26"/>
      <c r="K773" s="26"/>
    </row>
    <row r="774">
      <c r="A774" s="26"/>
      <c r="C774" s="26"/>
      <c r="G774" s="26"/>
      <c r="K774" s="26"/>
    </row>
    <row r="775">
      <c r="A775" s="26"/>
      <c r="C775" s="26"/>
      <c r="G775" s="26"/>
      <c r="K775" s="26"/>
    </row>
    <row r="776">
      <c r="A776" s="26"/>
      <c r="C776" s="26"/>
      <c r="G776" s="26"/>
      <c r="K776" s="26"/>
    </row>
    <row r="777">
      <c r="A777" s="26"/>
      <c r="C777" s="26"/>
      <c r="G777" s="26"/>
      <c r="K777" s="26"/>
    </row>
    <row r="778">
      <c r="A778" s="26"/>
      <c r="C778" s="26"/>
      <c r="G778" s="26"/>
      <c r="K778" s="26"/>
    </row>
    <row r="779">
      <c r="A779" s="26"/>
      <c r="C779" s="26"/>
      <c r="G779" s="26"/>
      <c r="K779" s="26"/>
    </row>
    <row r="780">
      <c r="A780" s="26"/>
      <c r="C780" s="26"/>
      <c r="G780" s="26"/>
      <c r="K780" s="26"/>
    </row>
    <row r="781">
      <c r="A781" s="26"/>
      <c r="C781" s="26"/>
      <c r="G781" s="26"/>
      <c r="K781" s="26"/>
    </row>
    <row r="782">
      <c r="A782" s="26"/>
      <c r="C782" s="26"/>
      <c r="G782" s="26"/>
      <c r="K782" s="26"/>
    </row>
    <row r="783">
      <c r="A783" s="26"/>
      <c r="C783" s="26"/>
      <c r="G783" s="26"/>
      <c r="K783" s="26"/>
    </row>
    <row r="784">
      <c r="A784" s="26"/>
      <c r="C784" s="26"/>
      <c r="G784" s="26"/>
      <c r="K784" s="26"/>
    </row>
    <row r="785">
      <c r="A785" s="26"/>
      <c r="C785" s="26"/>
      <c r="G785" s="26"/>
      <c r="K785" s="26"/>
    </row>
    <row r="786">
      <c r="A786" s="26"/>
      <c r="C786" s="26"/>
      <c r="G786" s="26"/>
      <c r="K786" s="26"/>
    </row>
    <row r="787">
      <c r="A787" s="26"/>
      <c r="C787" s="26"/>
      <c r="G787" s="26"/>
      <c r="K787" s="26"/>
    </row>
    <row r="788">
      <c r="A788" s="26"/>
      <c r="C788" s="26"/>
      <c r="G788" s="26"/>
      <c r="K788" s="26"/>
    </row>
    <row r="789">
      <c r="A789" s="26"/>
      <c r="C789" s="26"/>
      <c r="G789" s="26"/>
      <c r="K789" s="26"/>
    </row>
    <row r="790">
      <c r="A790" s="26"/>
      <c r="C790" s="26"/>
      <c r="G790" s="26"/>
      <c r="K790" s="26"/>
    </row>
    <row r="791">
      <c r="A791" s="26"/>
      <c r="C791" s="26"/>
      <c r="G791" s="26"/>
      <c r="K791" s="26"/>
    </row>
    <row r="792">
      <c r="A792" s="26"/>
      <c r="C792" s="26"/>
      <c r="G792" s="26"/>
      <c r="K792" s="26"/>
    </row>
    <row r="793">
      <c r="A793" s="26"/>
      <c r="C793" s="26"/>
      <c r="G793" s="26"/>
      <c r="K793" s="26"/>
    </row>
    <row r="794">
      <c r="A794" s="26"/>
      <c r="C794" s="26"/>
      <c r="G794" s="26"/>
      <c r="K794" s="26"/>
    </row>
    <row r="795">
      <c r="A795" s="26"/>
      <c r="C795" s="26"/>
      <c r="G795" s="26"/>
      <c r="K795" s="26"/>
    </row>
    <row r="796">
      <c r="A796" s="26"/>
      <c r="C796" s="26"/>
      <c r="G796" s="26"/>
      <c r="K796" s="26"/>
    </row>
    <row r="797">
      <c r="A797" s="26"/>
      <c r="C797" s="26"/>
      <c r="G797" s="26"/>
      <c r="K797" s="26"/>
    </row>
    <row r="798">
      <c r="A798" s="26"/>
      <c r="C798" s="26"/>
      <c r="G798" s="26"/>
      <c r="K798" s="26"/>
    </row>
    <row r="799">
      <c r="A799" s="26"/>
      <c r="C799" s="26"/>
      <c r="G799" s="26"/>
      <c r="K799" s="26"/>
    </row>
    <row r="800">
      <c r="A800" s="26"/>
      <c r="C800" s="26"/>
      <c r="G800" s="26"/>
      <c r="K800" s="26"/>
    </row>
    <row r="801">
      <c r="A801" s="26"/>
      <c r="C801" s="26"/>
      <c r="G801" s="26"/>
      <c r="K801" s="26"/>
    </row>
    <row r="802">
      <c r="A802" s="26"/>
      <c r="C802" s="26"/>
      <c r="G802" s="26"/>
      <c r="K802" s="26"/>
    </row>
    <row r="803">
      <c r="A803" s="26"/>
      <c r="C803" s="26"/>
      <c r="G803" s="26"/>
      <c r="K803" s="26"/>
    </row>
    <row r="804">
      <c r="A804" s="26"/>
      <c r="C804" s="26"/>
      <c r="G804" s="26"/>
      <c r="K804" s="26"/>
    </row>
    <row r="805">
      <c r="A805" s="26"/>
      <c r="C805" s="26"/>
      <c r="G805" s="26"/>
      <c r="K805" s="26"/>
    </row>
    <row r="806">
      <c r="A806" s="26"/>
      <c r="C806" s="26"/>
      <c r="G806" s="26"/>
      <c r="K806" s="26"/>
    </row>
    <row r="807">
      <c r="A807" s="26"/>
      <c r="C807" s="26"/>
      <c r="G807" s="26"/>
      <c r="K807" s="26"/>
    </row>
    <row r="808">
      <c r="A808" s="26"/>
      <c r="C808" s="26"/>
      <c r="G808" s="26"/>
      <c r="K808" s="26"/>
    </row>
    <row r="809">
      <c r="A809" s="26"/>
      <c r="C809" s="26"/>
      <c r="G809" s="26"/>
      <c r="K809" s="26"/>
    </row>
    <row r="810">
      <c r="A810" s="26"/>
      <c r="C810" s="26"/>
      <c r="G810" s="26"/>
      <c r="K810" s="26"/>
    </row>
    <row r="811">
      <c r="A811" s="26"/>
      <c r="C811" s="26"/>
      <c r="G811" s="26"/>
      <c r="K811" s="26"/>
    </row>
    <row r="812">
      <c r="A812" s="26"/>
      <c r="C812" s="26"/>
      <c r="G812" s="26"/>
      <c r="K812" s="26"/>
    </row>
    <row r="813">
      <c r="A813" s="26"/>
      <c r="C813" s="26"/>
      <c r="G813" s="26"/>
      <c r="K813" s="26"/>
    </row>
    <row r="814">
      <c r="A814" s="26"/>
      <c r="C814" s="26"/>
      <c r="G814" s="26"/>
      <c r="K814" s="26"/>
    </row>
    <row r="815">
      <c r="A815" s="26"/>
      <c r="C815" s="26"/>
      <c r="G815" s="26"/>
      <c r="K815" s="26"/>
    </row>
    <row r="816">
      <c r="A816" s="26"/>
      <c r="C816" s="26"/>
      <c r="G816" s="26"/>
      <c r="K816" s="26"/>
    </row>
    <row r="817">
      <c r="A817" s="26"/>
      <c r="C817" s="26"/>
      <c r="G817" s="26"/>
      <c r="K817" s="26"/>
    </row>
    <row r="818">
      <c r="A818" s="26"/>
      <c r="C818" s="26"/>
      <c r="G818" s="26"/>
      <c r="K818" s="26"/>
    </row>
    <row r="819">
      <c r="A819" s="26"/>
      <c r="C819" s="26"/>
      <c r="G819" s="26"/>
      <c r="K819" s="26"/>
    </row>
    <row r="820">
      <c r="A820" s="26"/>
      <c r="C820" s="26"/>
      <c r="G820" s="26"/>
      <c r="K820" s="26"/>
    </row>
    <row r="821">
      <c r="A821" s="26"/>
      <c r="C821" s="26"/>
      <c r="G821" s="26"/>
      <c r="K821" s="26"/>
    </row>
    <row r="822">
      <c r="A822" s="26"/>
      <c r="C822" s="26"/>
      <c r="G822" s="26"/>
      <c r="K822" s="26"/>
    </row>
    <row r="823">
      <c r="A823" s="26"/>
      <c r="C823" s="26"/>
      <c r="G823" s="26"/>
      <c r="K823" s="26"/>
    </row>
    <row r="824">
      <c r="A824" s="26"/>
      <c r="C824" s="26"/>
      <c r="G824" s="26"/>
      <c r="K824" s="26"/>
    </row>
    <row r="825">
      <c r="A825" s="26"/>
      <c r="C825" s="26"/>
      <c r="G825" s="26"/>
      <c r="K825" s="26"/>
    </row>
    <row r="826">
      <c r="A826" s="26"/>
      <c r="C826" s="26"/>
      <c r="G826" s="26"/>
      <c r="K826" s="26"/>
    </row>
    <row r="827">
      <c r="A827" s="26"/>
      <c r="C827" s="26"/>
      <c r="G827" s="26"/>
      <c r="K827" s="26"/>
    </row>
    <row r="828">
      <c r="A828" s="26"/>
      <c r="C828" s="26"/>
      <c r="G828" s="26"/>
      <c r="K828" s="26"/>
    </row>
    <row r="829">
      <c r="A829" s="26"/>
      <c r="C829" s="26"/>
      <c r="G829" s="26"/>
      <c r="K829" s="26"/>
    </row>
    <row r="830">
      <c r="A830" s="26"/>
      <c r="C830" s="26"/>
      <c r="G830" s="26"/>
      <c r="K830" s="26"/>
    </row>
    <row r="831">
      <c r="A831" s="26"/>
      <c r="C831" s="26"/>
      <c r="G831" s="26"/>
      <c r="K831" s="26"/>
    </row>
    <row r="832">
      <c r="A832" s="26"/>
      <c r="C832" s="26"/>
      <c r="G832" s="26"/>
      <c r="K832" s="26"/>
    </row>
    <row r="833">
      <c r="A833" s="26"/>
      <c r="C833" s="26"/>
      <c r="G833" s="26"/>
      <c r="K833" s="26"/>
    </row>
    <row r="834">
      <c r="A834" s="26"/>
      <c r="C834" s="26"/>
      <c r="G834" s="26"/>
      <c r="K834" s="26"/>
    </row>
    <row r="835">
      <c r="A835" s="26"/>
      <c r="C835" s="26"/>
      <c r="G835" s="26"/>
      <c r="K835" s="26"/>
    </row>
    <row r="836">
      <c r="A836" s="26"/>
      <c r="C836" s="26"/>
      <c r="G836" s="26"/>
      <c r="K836" s="26"/>
    </row>
    <row r="837">
      <c r="A837" s="26"/>
      <c r="C837" s="26"/>
      <c r="G837" s="26"/>
      <c r="K837" s="26"/>
    </row>
    <row r="838">
      <c r="A838" s="26"/>
      <c r="C838" s="26"/>
      <c r="G838" s="26"/>
      <c r="K838" s="26"/>
    </row>
    <row r="839">
      <c r="A839" s="26"/>
      <c r="C839" s="26"/>
      <c r="G839" s="26"/>
      <c r="K839" s="26"/>
    </row>
    <row r="840">
      <c r="A840" s="26"/>
      <c r="C840" s="26"/>
      <c r="G840" s="26"/>
      <c r="K840" s="26"/>
    </row>
    <row r="841">
      <c r="A841" s="26"/>
      <c r="C841" s="26"/>
      <c r="G841" s="26"/>
      <c r="K841" s="26"/>
    </row>
    <row r="842">
      <c r="A842" s="26"/>
      <c r="C842" s="26"/>
      <c r="G842" s="26"/>
      <c r="K842" s="26"/>
    </row>
    <row r="843">
      <c r="A843" s="26"/>
      <c r="C843" s="26"/>
      <c r="G843" s="26"/>
      <c r="K843" s="26"/>
    </row>
    <row r="844">
      <c r="A844" s="26"/>
      <c r="C844" s="26"/>
      <c r="G844" s="26"/>
      <c r="K844" s="26"/>
    </row>
    <row r="845">
      <c r="A845" s="26"/>
      <c r="C845" s="26"/>
      <c r="G845" s="26"/>
      <c r="K845" s="26"/>
    </row>
    <row r="846">
      <c r="A846" s="26"/>
      <c r="C846" s="26"/>
      <c r="G846" s="26"/>
      <c r="K846" s="26"/>
    </row>
    <row r="847">
      <c r="A847" s="26"/>
      <c r="C847" s="26"/>
      <c r="G847" s="26"/>
      <c r="K847" s="26"/>
    </row>
    <row r="848">
      <c r="A848" s="26"/>
      <c r="C848" s="26"/>
      <c r="G848" s="26"/>
      <c r="K848" s="26"/>
    </row>
    <row r="849">
      <c r="A849" s="26"/>
      <c r="C849" s="26"/>
      <c r="G849" s="26"/>
      <c r="K849" s="26"/>
    </row>
    <row r="850">
      <c r="A850" s="26"/>
      <c r="C850" s="26"/>
      <c r="G850" s="26"/>
      <c r="K850" s="26"/>
    </row>
    <row r="851">
      <c r="A851" s="26"/>
      <c r="C851" s="26"/>
      <c r="G851" s="26"/>
      <c r="K851" s="26"/>
    </row>
    <row r="852">
      <c r="A852" s="26"/>
      <c r="C852" s="26"/>
      <c r="G852" s="26"/>
      <c r="K852" s="26"/>
    </row>
    <row r="853">
      <c r="A853" s="26"/>
      <c r="C853" s="26"/>
      <c r="G853" s="26"/>
      <c r="K853" s="26"/>
    </row>
    <row r="854">
      <c r="A854" s="26"/>
      <c r="C854" s="26"/>
      <c r="G854" s="26"/>
      <c r="K854" s="26"/>
    </row>
    <row r="855">
      <c r="A855" s="26"/>
      <c r="C855" s="26"/>
      <c r="G855" s="26"/>
      <c r="K855" s="26"/>
    </row>
    <row r="856">
      <c r="A856" s="26"/>
      <c r="C856" s="26"/>
      <c r="G856" s="26"/>
      <c r="K856" s="26"/>
    </row>
    <row r="857">
      <c r="A857" s="26"/>
      <c r="C857" s="26"/>
      <c r="G857" s="26"/>
      <c r="K857" s="26"/>
    </row>
    <row r="858">
      <c r="A858" s="26"/>
      <c r="C858" s="26"/>
      <c r="G858" s="26"/>
      <c r="K858" s="26"/>
    </row>
    <row r="859">
      <c r="A859" s="26"/>
      <c r="C859" s="26"/>
      <c r="G859" s="26"/>
      <c r="K859" s="26"/>
    </row>
    <row r="860">
      <c r="A860" s="26"/>
      <c r="C860" s="26"/>
      <c r="G860" s="26"/>
      <c r="K860" s="26"/>
    </row>
    <row r="861">
      <c r="A861" s="26"/>
      <c r="C861" s="26"/>
      <c r="G861" s="26"/>
      <c r="K861" s="26"/>
    </row>
    <row r="862">
      <c r="A862" s="26"/>
      <c r="C862" s="26"/>
      <c r="G862" s="26"/>
      <c r="K862" s="26"/>
    </row>
    <row r="863">
      <c r="A863" s="26"/>
      <c r="C863" s="26"/>
      <c r="G863" s="26"/>
      <c r="K863" s="26"/>
    </row>
    <row r="864">
      <c r="A864" s="26"/>
      <c r="C864" s="26"/>
      <c r="G864" s="26"/>
      <c r="K864" s="26"/>
    </row>
    <row r="865">
      <c r="A865" s="26"/>
      <c r="C865" s="26"/>
      <c r="G865" s="26"/>
      <c r="K865" s="26"/>
    </row>
    <row r="866">
      <c r="A866" s="26"/>
      <c r="C866" s="26"/>
      <c r="G866" s="26"/>
      <c r="K866" s="26"/>
    </row>
    <row r="867">
      <c r="A867" s="26"/>
      <c r="C867" s="26"/>
      <c r="G867" s="26"/>
      <c r="K867" s="26"/>
    </row>
    <row r="868">
      <c r="A868" s="26"/>
      <c r="C868" s="26"/>
      <c r="G868" s="26"/>
      <c r="K868" s="26"/>
    </row>
    <row r="869">
      <c r="A869" s="26"/>
      <c r="C869" s="26"/>
      <c r="G869" s="26"/>
      <c r="K869" s="26"/>
    </row>
    <row r="870">
      <c r="A870" s="26"/>
      <c r="C870" s="26"/>
      <c r="G870" s="26"/>
      <c r="K870" s="26"/>
    </row>
    <row r="871">
      <c r="A871" s="26"/>
      <c r="C871" s="26"/>
      <c r="G871" s="26"/>
      <c r="K871" s="26"/>
    </row>
    <row r="872">
      <c r="A872" s="26"/>
      <c r="C872" s="26"/>
      <c r="G872" s="26"/>
      <c r="K872" s="26"/>
    </row>
    <row r="873">
      <c r="A873" s="26"/>
      <c r="C873" s="26"/>
      <c r="G873" s="26"/>
      <c r="K873" s="26"/>
    </row>
    <row r="874">
      <c r="A874" s="26"/>
      <c r="C874" s="26"/>
      <c r="G874" s="26"/>
      <c r="K874" s="26"/>
    </row>
    <row r="875">
      <c r="A875" s="26"/>
      <c r="C875" s="26"/>
      <c r="G875" s="26"/>
      <c r="K875" s="26"/>
    </row>
    <row r="876">
      <c r="A876" s="26"/>
      <c r="C876" s="26"/>
      <c r="G876" s="26"/>
      <c r="K876" s="26"/>
    </row>
    <row r="877">
      <c r="A877" s="26"/>
      <c r="C877" s="26"/>
      <c r="G877" s="26"/>
      <c r="K877" s="26"/>
    </row>
    <row r="878">
      <c r="A878" s="26"/>
      <c r="C878" s="26"/>
      <c r="G878" s="26"/>
      <c r="K878" s="26"/>
    </row>
    <row r="879">
      <c r="A879" s="26"/>
      <c r="C879" s="26"/>
      <c r="G879" s="26"/>
      <c r="K879" s="26"/>
    </row>
    <row r="880">
      <c r="A880" s="26"/>
      <c r="C880" s="26"/>
      <c r="G880" s="26"/>
      <c r="K880" s="26"/>
    </row>
    <row r="881">
      <c r="A881" s="26"/>
      <c r="C881" s="26"/>
      <c r="G881" s="26"/>
      <c r="K881" s="26"/>
    </row>
    <row r="882">
      <c r="A882" s="26"/>
      <c r="C882" s="26"/>
      <c r="G882" s="26"/>
      <c r="K882" s="26"/>
    </row>
    <row r="883">
      <c r="A883" s="26"/>
      <c r="C883" s="26"/>
      <c r="G883" s="26"/>
      <c r="K883" s="26"/>
    </row>
    <row r="884">
      <c r="A884" s="26"/>
      <c r="C884" s="26"/>
      <c r="G884" s="26"/>
      <c r="K884" s="26"/>
    </row>
    <row r="885">
      <c r="A885" s="26"/>
      <c r="C885" s="26"/>
      <c r="G885" s="26"/>
      <c r="K885" s="26"/>
    </row>
    <row r="886">
      <c r="A886" s="26"/>
      <c r="C886" s="26"/>
      <c r="G886" s="26"/>
      <c r="K886" s="26"/>
    </row>
    <row r="887">
      <c r="A887" s="26"/>
      <c r="C887" s="26"/>
      <c r="G887" s="26"/>
      <c r="K887" s="26"/>
    </row>
    <row r="888">
      <c r="A888" s="26"/>
      <c r="C888" s="26"/>
      <c r="G888" s="26"/>
      <c r="K888" s="26"/>
    </row>
    <row r="889">
      <c r="A889" s="26"/>
      <c r="C889" s="26"/>
      <c r="G889" s="26"/>
      <c r="K889" s="26"/>
    </row>
    <row r="890">
      <c r="A890" s="26"/>
      <c r="C890" s="26"/>
      <c r="G890" s="26"/>
      <c r="K890" s="26"/>
    </row>
    <row r="891">
      <c r="A891" s="26"/>
      <c r="C891" s="26"/>
      <c r="G891" s="26"/>
      <c r="K891" s="26"/>
    </row>
    <row r="892">
      <c r="A892" s="26"/>
      <c r="C892" s="26"/>
      <c r="G892" s="26"/>
      <c r="K892" s="26"/>
    </row>
    <row r="893">
      <c r="A893" s="26"/>
      <c r="C893" s="26"/>
      <c r="G893" s="26"/>
      <c r="K893" s="26"/>
    </row>
    <row r="894">
      <c r="A894" s="26"/>
      <c r="C894" s="26"/>
      <c r="G894" s="26"/>
      <c r="K894" s="26"/>
    </row>
    <row r="895">
      <c r="A895" s="26"/>
      <c r="C895" s="26"/>
      <c r="G895" s="26"/>
      <c r="K895" s="26"/>
    </row>
    <row r="896">
      <c r="A896" s="26"/>
      <c r="C896" s="26"/>
      <c r="G896" s="26"/>
      <c r="K896" s="26"/>
    </row>
    <row r="897">
      <c r="A897" s="26"/>
      <c r="C897" s="26"/>
      <c r="G897" s="26"/>
      <c r="K897" s="26"/>
    </row>
    <row r="898">
      <c r="A898" s="26"/>
      <c r="C898" s="26"/>
      <c r="G898" s="26"/>
      <c r="K898" s="26"/>
    </row>
    <row r="899">
      <c r="A899" s="26"/>
      <c r="C899" s="26"/>
      <c r="G899" s="26"/>
      <c r="K899" s="26"/>
    </row>
    <row r="900">
      <c r="A900" s="26"/>
      <c r="C900" s="26"/>
      <c r="G900" s="26"/>
      <c r="K900" s="26"/>
    </row>
    <row r="901">
      <c r="A901" s="26"/>
      <c r="C901" s="26"/>
      <c r="G901" s="26"/>
      <c r="K901" s="26"/>
    </row>
    <row r="902">
      <c r="A902" s="26"/>
      <c r="C902" s="26"/>
      <c r="G902" s="26"/>
      <c r="K902" s="26"/>
    </row>
    <row r="903">
      <c r="A903" s="26"/>
      <c r="C903" s="26"/>
      <c r="G903" s="26"/>
      <c r="K903" s="26"/>
    </row>
    <row r="904">
      <c r="A904" s="26"/>
      <c r="C904" s="26"/>
      <c r="G904" s="26"/>
      <c r="K904" s="26"/>
    </row>
    <row r="905">
      <c r="A905" s="26"/>
      <c r="C905" s="26"/>
      <c r="G905" s="26"/>
      <c r="K905" s="26"/>
    </row>
    <row r="906">
      <c r="A906" s="26"/>
      <c r="C906" s="26"/>
      <c r="G906" s="26"/>
      <c r="K906" s="26"/>
    </row>
    <row r="907">
      <c r="A907" s="26"/>
      <c r="C907" s="26"/>
      <c r="G907" s="26"/>
      <c r="K907" s="26"/>
    </row>
    <row r="908">
      <c r="A908" s="26"/>
      <c r="C908" s="26"/>
      <c r="G908" s="26"/>
      <c r="K908" s="26"/>
    </row>
    <row r="909">
      <c r="A909" s="26"/>
      <c r="C909" s="26"/>
      <c r="G909" s="26"/>
      <c r="K909" s="26"/>
    </row>
    <row r="910">
      <c r="A910" s="26"/>
      <c r="C910" s="26"/>
      <c r="G910" s="26"/>
      <c r="K910" s="26"/>
    </row>
    <row r="911">
      <c r="A911" s="26"/>
      <c r="C911" s="26"/>
      <c r="G911" s="26"/>
      <c r="K911" s="26"/>
    </row>
    <row r="912">
      <c r="A912" s="26"/>
      <c r="C912" s="26"/>
      <c r="G912" s="26"/>
      <c r="K912" s="26"/>
    </row>
    <row r="913">
      <c r="A913" s="26"/>
      <c r="C913" s="26"/>
      <c r="G913" s="26"/>
      <c r="K913" s="26"/>
    </row>
    <row r="914">
      <c r="A914" s="26"/>
      <c r="C914" s="26"/>
      <c r="G914" s="26"/>
      <c r="K914" s="26"/>
    </row>
    <row r="915">
      <c r="A915" s="26"/>
      <c r="C915" s="26"/>
      <c r="G915" s="26"/>
      <c r="K915" s="26"/>
    </row>
    <row r="916">
      <c r="A916" s="26"/>
      <c r="C916" s="26"/>
      <c r="G916" s="26"/>
      <c r="K916" s="26"/>
    </row>
    <row r="917">
      <c r="A917" s="26"/>
      <c r="C917" s="26"/>
      <c r="G917" s="26"/>
      <c r="K917" s="26"/>
    </row>
    <row r="918">
      <c r="A918" s="26"/>
      <c r="C918" s="26"/>
      <c r="G918" s="26"/>
      <c r="K918" s="26"/>
    </row>
    <row r="919">
      <c r="A919" s="26"/>
      <c r="C919" s="26"/>
      <c r="G919" s="26"/>
      <c r="K919" s="26"/>
    </row>
    <row r="920">
      <c r="A920" s="26"/>
      <c r="C920" s="26"/>
      <c r="G920" s="26"/>
      <c r="K920" s="26"/>
    </row>
    <row r="921">
      <c r="A921" s="26"/>
      <c r="C921" s="26"/>
      <c r="G921" s="26"/>
      <c r="K921" s="26"/>
    </row>
    <row r="922">
      <c r="A922" s="26"/>
      <c r="C922" s="26"/>
      <c r="G922" s="26"/>
      <c r="K922" s="26"/>
    </row>
    <row r="923">
      <c r="A923" s="26"/>
      <c r="C923" s="26"/>
      <c r="G923" s="26"/>
      <c r="K923" s="26"/>
    </row>
    <row r="924">
      <c r="A924" s="26"/>
      <c r="C924" s="26"/>
      <c r="G924" s="26"/>
      <c r="K924" s="26"/>
    </row>
    <row r="925">
      <c r="A925" s="26"/>
      <c r="C925" s="26"/>
      <c r="G925" s="26"/>
      <c r="K925" s="26"/>
    </row>
    <row r="926">
      <c r="A926" s="26"/>
      <c r="C926" s="26"/>
      <c r="G926" s="26"/>
      <c r="K926" s="26"/>
    </row>
    <row r="927">
      <c r="A927" s="26"/>
      <c r="C927" s="26"/>
      <c r="G927" s="26"/>
      <c r="K927" s="26"/>
    </row>
    <row r="928">
      <c r="A928" s="26"/>
      <c r="C928" s="26"/>
      <c r="G928" s="26"/>
      <c r="K928" s="26"/>
    </row>
    <row r="929">
      <c r="A929" s="26"/>
      <c r="C929" s="26"/>
      <c r="G929" s="26"/>
      <c r="K929" s="26"/>
    </row>
    <row r="930">
      <c r="A930" s="26"/>
      <c r="C930" s="26"/>
      <c r="G930" s="26"/>
      <c r="K930" s="26"/>
    </row>
    <row r="931">
      <c r="A931" s="26"/>
      <c r="C931" s="26"/>
      <c r="G931" s="26"/>
      <c r="K931" s="26"/>
    </row>
    <row r="932">
      <c r="A932" s="26"/>
      <c r="C932" s="26"/>
      <c r="G932" s="26"/>
      <c r="K932" s="26"/>
    </row>
    <row r="933">
      <c r="A933" s="26"/>
      <c r="C933" s="26"/>
      <c r="G933" s="26"/>
      <c r="K933" s="26"/>
    </row>
    <row r="934">
      <c r="A934" s="26"/>
      <c r="C934" s="26"/>
      <c r="G934" s="26"/>
      <c r="K934" s="26"/>
    </row>
    <row r="935">
      <c r="A935" s="26"/>
      <c r="C935" s="26"/>
      <c r="G935" s="26"/>
      <c r="K935" s="26"/>
    </row>
    <row r="936">
      <c r="A936" s="26"/>
      <c r="C936" s="26"/>
      <c r="G936" s="26"/>
      <c r="K936" s="26"/>
    </row>
    <row r="937">
      <c r="A937" s="26"/>
      <c r="C937" s="26"/>
      <c r="G937" s="26"/>
      <c r="K937" s="26"/>
    </row>
    <row r="938">
      <c r="A938" s="26"/>
      <c r="C938" s="26"/>
      <c r="G938" s="26"/>
      <c r="K938" s="26"/>
    </row>
    <row r="939">
      <c r="A939" s="26"/>
      <c r="C939" s="26"/>
      <c r="G939" s="26"/>
      <c r="K939" s="26"/>
    </row>
    <row r="940">
      <c r="A940" s="26"/>
      <c r="C940" s="26"/>
      <c r="G940" s="26"/>
      <c r="K940" s="26"/>
    </row>
    <row r="941">
      <c r="A941" s="26"/>
      <c r="C941" s="26"/>
      <c r="G941" s="26"/>
      <c r="K941" s="26"/>
    </row>
    <row r="942">
      <c r="A942" s="26"/>
      <c r="C942" s="26"/>
      <c r="G942" s="26"/>
      <c r="K942" s="26"/>
    </row>
    <row r="943">
      <c r="A943" s="26"/>
      <c r="C943" s="26"/>
      <c r="G943" s="26"/>
      <c r="K943" s="26"/>
    </row>
    <row r="944">
      <c r="A944" s="26"/>
      <c r="C944" s="26"/>
      <c r="G944" s="26"/>
      <c r="K944" s="26"/>
    </row>
    <row r="945">
      <c r="A945" s="26"/>
      <c r="C945" s="26"/>
      <c r="G945" s="26"/>
      <c r="K945" s="26"/>
    </row>
    <row r="946">
      <c r="A946" s="26"/>
      <c r="C946" s="26"/>
      <c r="G946" s="26"/>
      <c r="K946" s="26"/>
    </row>
    <row r="947">
      <c r="A947" s="26"/>
      <c r="C947" s="26"/>
      <c r="G947" s="26"/>
      <c r="K947" s="26"/>
    </row>
    <row r="948">
      <c r="A948" s="26"/>
      <c r="C948" s="26"/>
      <c r="G948" s="26"/>
      <c r="K948" s="26"/>
    </row>
    <row r="949">
      <c r="A949" s="26"/>
      <c r="C949" s="26"/>
      <c r="G949" s="26"/>
      <c r="K949" s="26"/>
    </row>
    <row r="950">
      <c r="A950" s="26"/>
      <c r="C950" s="26"/>
      <c r="G950" s="26"/>
      <c r="K950" s="26"/>
    </row>
    <row r="951">
      <c r="A951" s="26"/>
      <c r="C951" s="26"/>
      <c r="G951" s="26"/>
      <c r="K951" s="26"/>
    </row>
    <row r="952">
      <c r="A952" s="26"/>
      <c r="C952" s="26"/>
      <c r="G952" s="26"/>
      <c r="K952" s="26"/>
    </row>
    <row r="953">
      <c r="A953" s="26"/>
      <c r="C953" s="26"/>
      <c r="G953" s="26"/>
      <c r="K953" s="26"/>
    </row>
    <row r="954">
      <c r="A954" s="26"/>
      <c r="C954" s="26"/>
      <c r="G954" s="26"/>
      <c r="K954" s="26"/>
    </row>
    <row r="955">
      <c r="A955" s="26"/>
      <c r="C955" s="26"/>
      <c r="G955" s="26"/>
      <c r="K955" s="26"/>
    </row>
    <row r="956">
      <c r="A956" s="26"/>
      <c r="C956" s="26"/>
      <c r="G956" s="26"/>
      <c r="K956" s="26"/>
    </row>
    <row r="957">
      <c r="A957" s="26"/>
      <c r="C957" s="26"/>
      <c r="G957" s="26"/>
      <c r="K957" s="26"/>
    </row>
    <row r="958">
      <c r="A958" s="26"/>
      <c r="C958" s="26"/>
      <c r="G958" s="26"/>
      <c r="K958" s="26"/>
    </row>
    <row r="959">
      <c r="A959" s="26"/>
      <c r="C959" s="26"/>
      <c r="G959" s="26"/>
      <c r="K959" s="26"/>
    </row>
    <row r="960">
      <c r="A960" s="26"/>
      <c r="C960" s="26"/>
      <c r="G960" s="26"/>
      <c r="K960" s="26"/>
    </row>
    <row r="961">
      <c r="A961" s="26"/>
      <c r="C961" s="26"/>
      <c r="G961" s="26"/>
      <c r="K961" s="26"/>
    </row>
    <row r="962">
      <c r="A962" s="26"/>
      <c r="C962" s="26"/>
      <c r="G962" s="26"/>
      <c r="K962" s="26"/>
    </row>
    <row r="963">
      <c r="A963" s="26"/>
      <c r="C963" s="26"/>
      <c r="G963" s="26"/>
      <c r="K963" s="26"/>
    </row>
    <row r="964">
      <c r="A964" s="26"/>
      <c r="C964" s="26"/>
      <c r="G964" s="26"/>
      <c r="K964" s="26"/>
    </row>
    <row r="965">
      <c r="A965" s="26"/>
      <c r="C965" s="26"/>
      <c r="G965" s="26"/>
      <c r="K965" s="26"/>
    </row>
    <row r="966">
      <c r="A966" s="26"/>
      <c r="C966" s="26"/>
      <c r="G966" s="26"/>
      <c r="K966" s="26"/>
    </row>
    <row r="967">
      <c r="A967" s="26"/>
      <c r="C967" s="26"/>
      <c r="G967" s="26"/>
      <c r="K967" s="26"/>
    </row>
    <row r="968">
      <c r="A968" s="26"/>
      <c r="C968" s="26"/>
      <c r="G968" s="26"/>
      <c r="K968" s="26"/>
    </row>
    <row r="969">
      <c r="A969" s="26"/>
      <c r="C969" s="26"/>
      <c r="G969" s="26"/>
      <c r="K969" s="26"/>
    </row>
    <row r="970">
      <c r="A970" s="26"/>
      <c r="C970" s="26"/>
      <c r="G970" s="26"/>
      <c r="K970" s="26"/>
    </row>
    <row r="971">
      <c r="A971" s="26"/>
      <c r="C971" s="26"/>
      <c r="G971" s="26"/>
      <c r="K971" s="26"/>
    </row>
    <row r="972">
      <c r="A972" s="26"/>
      <c r="C972" s="26"/>
      <c r="G972" s="26"/>
      <c r="K972" s="26"/>
    </row>
    <row r="973">
      <c r="A973" s="26"/>
      <c r="C973" s="26"/>
      <c r="G973" s="26"/>
      <c r="K973" s="26"/>
    </row>
    <row r="974">
      <c r="A974" s="26"/>
      <c r="C974" s="26"/>
      <c r="G974" s="26"/>
      <c r="K974" s="26"/>
    </row>
    <row r="975">
      <c r="A975" s="26"/>
      <c r="C975" s="26"/>
      <c r="G975" s="26"/>
      <c r="K975" s="26"/>
    </row>
    <row r="976">
      <c r="A976" s="26"/>
      <c r="C976" s="26"/>
      <c r="G976" s="26"/>
      <c r="K976" s="26"/>
    </row>
    <row r="977">
      <c r="A977" s="26"/>
      <c r="C977" s="26"/>
      <c r="G977" s="26"/>
      <c r="K977" s="26"/>
    </row>
    <row r="978">
      <c r="A978" s="26"/>
      <c r="C978" s="26"/>
      <c r="G978" s="26"/>
      <c r="K978" s="26"/>
    </row>
    <row r="979">
      <c r="A979" s="26"/>
      <c r="C979" s="26"/>
      <c r="G979" s="26"/>
      <c r="K979" s="26"/>
    </row>
    <row r="980">
      <c r="A980" s="26"/>
      <c r="C980" s="26"/>
      <c r="G980" s="26"/>
      <c r="K980" s="26"/>
    </row>
    <row r="981">
      <c r="A981" s="26"/>
      <c r="C981" s="26"/>
      <c r="G981" s="26"/>
      <c r="K981" s="26"/>
    </row>
    <row r="982">
      <c r="A982" s="26"/>
      <c r="C982" s="26"/>
      <c r="G982" s="26"/>
      <c r="K982" s="26"/>
    </row>
    <row r="983">
      <c r="A983" s="26"/>
      <c r="C983" s="26"/>
      <c r="G983" s="26"/>
      <c r="K983" s="26"/>
    </row>
    <row r="984">
      <c r="A984" s="26"/>
      <c r="C984" s="26"/>
      <c r="G984" s="26"/>
      <c r="K984" s="26"/>
    </row>
    <row r="985">
      <c r="A985" s="26"/>
      <c r="C985" s="26"/>
      <c r="G985" s="26"/>
      <c r="K985" s="26"/>
    </row>
    <row r="986">
      <c r="A986" s="26"/>
      <c r="C986" s="26"/>
      <c r="G986" s="26"/>
      <c r="K986" s="26"/>
    </row>
    <row r="987">
      <c r="A987" s="26"/>
      <c r="C987" s="26"/>
      <c r="G987" s="26"/>
      <c r="K987" s="26"/>
    </row>
    <row r="988">
      <c r="A988" s="26"/>
      <c r="C988" s="26"/>
      <c r="G988" s="26"/>
      <c r="K988" s="26"/>
    </row>
    <row r="989">
      <c r="A989" s="26"/>
      <c r="C989" s="26"/>
      <c r="G989" s="26"/>
      <c r="K989" s="26"/>
    </row>
    <row r="990">
      <c r="A990" s="26"/>
      <c r="C990" s="26"/>
      <c r="G990" s="26"/>
      <c r="K990" s="26"/>
    </row>
    <row r="991">
      <c r="A991" s="26"/>
      <c r="C991" s="26"/>
      <c r="G991" s="26"/>
      <c r="K991" s="26"/>
    </row>
    <row r="992">
      <c r="A992" s="26"/>
      <c r="C992" s="26"/>
      <c r="G992" s="26"/>
      <c r="K992" s="26"/>
    </row>
    <row r="993">
      <c r="A993" s="26"/>
      <c r="C993" s="26"/>
      <c r="G993" s="26"/>
      <c r="K993" s="26"/>
    </row>
    <row r="994">
      <c r="A994" s="26"/>
      <c r="C994" s="26"/>
      <c r="G994" s="26"/>
      <c r="K994" s="26"/>
    </row>
    <row r="995">
      <c r="A995" s="26"/>
      <c r="C995" s="26"/>
      <c r="G995" s="26"/>
      <c r="K995" s="26"/>
    </row>
    <row r="996">
      <c r="A996" s="26"/>
      <c r="C996" s="26"/>
      <c r="G996" s="26"/>
      <c r="K996" s="26"/>
    </row>
    <row r="997">
      <c r="A997" s="26"/>
      <c r="C997" s="26"/>
      <c r="G997" s="26"/>
      <c r="K997" s="26"/>
    </row>
    <row r="998">
      <c r="A998" s="26"/>
      <c r="C998" s="26"/>
      <c r="G998" s="26"/>
      <c r="K998" s="26"/>
    </row>
    <row r="999">
      <c r="A999" s="26"/>
      <c r="C999" s="26"/>
      <c r="G999" s="26"/>
      <c r="K999" s="26"/>
    </row>
    <row r="1000">
      <c r="A1000" s="26"/>
      <c r="C1000" s="26"/>
      <c r="G1000" s="26"/>
      <c r="K1000" s="26"/>
    </row>
    <row r="1001">
      <c r="A1001" s="26"/>
      <c r="C1001" s="26"/>
      <c r="G1001" s="26"/>
      <c r="K1001" s="26"/>
    </row>
    <row r="1002">
      <c r="A1002" s="26"/>
      <c r="C1002" s="26"/>
      <c r="G1002" s="26"/>
      <c r="K1002" s="26"/>
    </row>
  </sheetData>
  <mergeCells count="2">
    <mergeCell ref="D3:G3"/>
    <mergeCell ref="H3:K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10" max="10" width="15.0"/>
  </cols>
  <sheetData>
    <row r="1">
      <c r="A1" s="1" t="s">
        <v>0</v>
      </c>
      <c r="B1" s="1">
        <v>12.0</v>
      </c>
      <c r="C1" s="1" t="s">
        <v>1</v>
      </c>
      <c r="D1" s="1" t="s">
        <v>21</v>
      </c>
    </row>
    <row r="2">
      <c r="A2" s="1" t="s">
        <v>3</v>
      </c>
      <c r="B2" s="1">
        <v>5.0</v>
      </c>
      <c r="D2" s="2"/>
      <c r="E2" s="2"/>
      <c r="F2" s="2"/>
      <c r="G2" s="2"/>
      <c r="H2" s="2"/>
      <c r="I2" s="2"/>
      <c r="J2" s="2"/>
      <c r="K2" s="2"/>
    </row>
    <row r="3">
      <c r="D3" s="3" t="s">
        <v>4</v>
      </c>
      <c r="E3" s="4"/>
      <c r="F3" s="4"/>
      <c r="G3" s="5"/>
      <c r="H3" s="3" t="s">
        <v>5</v>
      </c>
      <c r="I3" s="4"/>
      <c r="J3" s="4"/>
      <c r="K3" s="5"/>
    </row>
    <row r="4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15</v>
      </c>
      <c r="K4" s="6" t="s">
        <v>16</v>
      </c>
    </row>
    <row r="5">
      <c r="A5" s="7" t="s">
        <v>17</v>
      </c>
      <c r="B5" s="8">
        <v>12.0</v>
      </c>
      <c r="C5" s="10">
        <v>4200.0</v>
      </c>
      <c r="D5" s="27">
        <v>0.337669490069473</v>
      </c>
      <c r="E5" s="10">
        <v>0.123192</v>
      </c>
      <c r="F5" s="11">
        <v>1806.41</v>
      </c>
      <c r="G5" s="11">
        <v>86787.0</v>
      </c>
      <c r="H5" s="28">
        <f>0.0000049848901606398</f>
        <v>0.000004984890161</v>
      </c>
      <c r="I5" s="11">
        <f>0.00000181863</f>
        <v>0.00000181863</v>
      </c>
      <c r="J5" s="11">
        <v>0.0266674</v>
      </c>
      <c r="K5" s="9">
        <v>1.2812</v>
      </c>
    </row>
    <row r="6">
      <c r="A6" s="13" t="s">
        <v>18</v>
      </c>
      <c r="B6" s="14">
        <v>23.0</v>
      </c>
      <c r="C6" s="1">
        <v>4200.0</v>
      </c>
      <c r="D6" s="29">
        <v>0.443878895809037</v>
      </c>
      <c r="E6" s="1">
        <v>0.49478</v>
      </c>
      <c r="F6" s="16">
        <v>2606.46</v>
      </c>
      <c r="G6" s="16">
        <v>113340.0</v>
      </c>
      <c r="H6" s="30">
        <f>0.00000459918843543084</f>
        <v>0.000004599188435</v>
      </c>
      <c r="I6" s="16">
        <f>0.00000154879</f>
        <v>0.00000154879</v>
      </c>
      <c r="J6" s="16">
        <v>0.0270065</v>
      </c>
      <c r="K6" s="18">
        <v>1.17435</v>
      </c>
    </row>
    <row r="7">
      <c r="A7" s="13" t="s">
        <v>19</v>
      </c>
      <c r="B7" s="14">
        <v>16.78</v>
      </c>
      <c r="C7" s="1">
        <v>4200.0</v>
      </c>
      <c r="D7" s="14">
        <v>0.37198</v>
      </c>
      <c r="E7" s="1">
        <v>0.1335</v>
      </c>
      <c r="F7" s="16">
        <v>2005.0</v>
      </c>
      <c r="G7" s="16">
        <v>95837.0</v>
      </c>
      <c r="H7" s="30">
        <f>0.000004491</f>
        <v>0.000004491</v>
      </c>
      <c r="I7" s="16">
        <f>0.00000161172</f>
        <v>0.00000161172</v>
      </c>
      <c r="J7" s="16">
        <v>0.0242059</v>
      </c>
      <c r="K7" s="18">
        <v>1.15703</v>
      </c>
    </row>
    <row r="8">
      <c r="A8" s="19" t="s">
        <v>20</v>
      </c>
      <c r="B8" s="20">
        <v>18.68</v>
      </c>
      <c r="C8" s="22">
        <v>4200.0</v>
      </c>
      <c r="D8" s="20">
        <v>0.391</v>
      </c>
      <c r="E8" s="22">
        <v>0.138209</v>
      </c>
      <c r="F8" s="23">
        <f>2149</f>
        <v>2149</v>
      </c>
      <c r="G8" s="23">
        <v>100573.0</v>
      </c>
      <c r="H8" s="31">
        <f>4.45459654*10^(-6)</f>
        <v>0.00000445459654</v>
      </c>
      <c r="I8" s="23">
        <f> 0.00000157449</f>
        <v>0.00000157449</v>
      </c>
      <c r="J8" s="23">
        <v>0.0244888</v>
      </c>
      <c r="K8" s="32">
        <v>1.14574</v>
      </c>
    </row>
    <row r="150">
      <c r="A150" s="26"/>
      <c r="C150" s="26"/>
      <c r="G150" s="26"/>
      <c r="K150" s="26"/>
    </row>
    <row r="151">
      <c r="A151" s="26"/>
      <c r="C151" s="26"/>
      <c r="G151" s="26"/>
      <c r="K151" s="26"/>
    </row>
    <row r="152">
      <c r="A152" s="26"/>
      <c r="C152" s="26"/>
      <c r="G152" s="26"/>
      <c r="K152" s="26"/>
    </row>
    <row r="153">
      <c r="A153" s="26"/>
      <c r="C153" s="26"/>
      <c r="G153" s="26"/>
      <c r="K153" s="26"/>
    </row>
    <row r="154">
      <c r="A154" s="26"/>
      <c r="C154" s="26"/>
      <c r="G154" s="26"/>
      <c r="K154" s="26"/>
    </row>
    <row r="155">
      <c r="A155" s="26"/>
      <c r="C155" s="26"/>
      <c r="G155" s="26"/>
      <c r="K155" s="26"/>
    </row>
    <row r="156">
      <c r="A156" s="26"/>
      <c r="C156" s="26"/>
      <c r="G156" s="26"/>
      <c r="K156" s="26"/>
    </row>
    <row r="157">
      <c r="A157" s="26"/>
      <c r="C157" s="26"/>
      <c r="G157" s="26"/>
      <c r="K157" s="26"/>
    </row>
    <row r="158">
      <c r="A158" s="26"/>
      <c r="C158" s="26"/>
      <c r="G158" s="26"/>
      <c r="K158" s="26"/>
    </row>
    <row r="159">
      <c r="A159" s="26"/>
      <c r="C159" s="26"/>
      <c r="G159" s="26"/>
      <c r="K159" s="26"/>
    </row>
    <row r="160">
      <c r="A160" s="26"/>
      <c r="C160" s="26"/>
      <c r="G160" s="26"/>
      <c r="K160" s="26"/>
    </row>
    <row r="161">
      <c r="A161" s="26"/>
      <c r="C161" s="26"/>
      <c r="G161" s="26"/>
      <c r="K161" s="26"/>
    </row>
    <row r="162">
      <c r="A162" s="26"/>
      <c r="C162" s="26"/>
      <c r="G162" s="26"/>
      <c r="K162" s="26"/>
    </row>
    <row r="163">
      <c r="A163" s="26"/>
      <c r="C163" s="26"/>
      <c r="G163" s="26"/>
      <c r="K163" s="26"/>
    </row>
    <row r="164">
      <c r="A164" s="26"/>
      <c r="C164" s="26"/>
      <c r="G164" s="26"/>
      <c r="K164" s="26"/>
    </row>
    <row r="165">
      <c r="A165" s="26"/>
      <c r="C165" s="26"/>
      <c r="G165" s="26"/>
      <c r="K165" s="26"/>
    </row>
    <row r="166">
      <c r="A166" s="26"/>
      <c r="C166" s="26"/>
      <c r="G166" s="26"/>
      <c r="K166" s="26"/>
    </row>
    <row r="167">
      <c r="A167" s="26"/>
      <c r="C167" s="26"/>
      <c r="G167" s="26"/>
      <c r="K167" s="26"/>
    </row>
    <row r="168">
      <c r="A168" s="26"/>
      <c r="C168" s="26"/>
      <c r="G168" s="26"/>
      <c r="K168" s="26"/>
    </row>
    <row r="169">
      <c r="A169" s="26"/>
      <c r="C169" s="26"/>
      <c r="G169" s="26"/>
      <c r="K169" s="26"/>
    </row>
    <row r="170">
      <c r="A170" s="26"/>
      <c r="C170" s="26"/>
      <c r="G170" s="26"/>
      <c r="K170" s="26"/>
    </row>
    <row r="171">
      <c r="A171" s="26"/>
      <c r="C171" s="26"/>
      <c r="G171" s="26"/>
      <c r="K171" s="26"/>
    </row>
    <row r="172">
      <c r="A172" s="26"/>
      <c r="C172" s="26"/>
      <c r="G172" s="26"/>
      <c r="K172" s="26"/>
    </row>
    <row r="173">
      <c r="A173" s="26"/>
      <c r="C173" s="26"/>
      <c r="G173" s="26"/>
      <c r="K173" s="26"/>
    </row>
    <row r="174">
      <c r="A174" s="26"/>
      <c r="C174" s="26"/>
      <c r="G174" s="26"/>
      <c r="K174" s="26"/>
    </row>
    <row r="175">
      <c r="A175" s="26"/>
      <c r="C175" s="26"/>
      <c r="G175" s="26"/>
      <c r="K175" s="26"/>
    </row>
    <row r="176">
      <c r="A176" s="26"/>
      <c r="C176" s="26"/>
      <c r="G176" s="26"/>
      <c r="K176" s="26"/>
    </row>
    <row r="177">
      <c r="A177" s="26"/>
      <c r="C177" s="26"/>
      <c r="G177" s="26"/>
      <c r="K177" s="26"/>
    </row>
    <row r="178">
      <c r="A178" s="26"/>
      <c r="C178" s="26"/>
      <c r="G178" s="26"/>
      <c r="K178" s="26"/>
    </row>
    <row r="179">
      <c r="A179" s="26"/>
      <c r="C179" s="26"/>
      <c r="G179" s="26"/>
      <c r="K179" s="26"/>
    </row>
    <row r="180">
      <c r="A180" s="26"/>
      <c r="C180" s="26"/>
      <c r="G180" s="26"/>
      <c r="K180" s="26"/>
    </row>
    <row r="181">
      <c r="A181" s="26"/>
      <c r="C181" s="26"/>
      <c r="G181" s="26"/>
      <c r="K181" s="26"/>
    </row>
    <row r="182">
      <c r="A182" s="26"/>
      <c r="C182" s="26"/>
      <c r="G182" s="26"/>
      <c r="K182" s="26"/>
    </row>
    <row r="183">
      <c r="A183" s="26"/>
      <c r="C183" s="26"/>
      <c r="G183" s="26"/>
      <c r="K183" s="26"/>
    </row>
    <row r="184">
      <c r="A184" s="26"/>
      <c r="C184" s="26"/>
      <c r="G184" s="26"/>
      <c r="K184" s="26"/>
    </row>
    <row r="185">
      <c r="A185" s="26"/>
      <c r="C185" s="26"/>
      <c r="G185" s="26"/>
      <c r="K185" s="26"/>
    </row>
    <row r="186">
      <c r="A186" s="26"/>
      <c r="C186" s="26"/>
      <c r="G186" s="26"/>
      <c r="K186" s="26"/>
    </row>
    <row r="187">
      <c r="A187" s="26"/>
      <c r="C187" s="26"/>
      <c r="G187" s="26"/>
      <c r="K187" s="26"/>
    </row>
    <row r="188">
      <c r="A188" s="26"/>
      <c r="C188" s="26"/>
      <c r="G188" s="26"/>
      <c r="K188" s="26"/>
    </row>
    <row r="189">
      <c r="A189" s="26"/>
      <c r="C189" s="26"/>
      <c r="G189" s="26"/>
      <c r="K189" s="26"/>
    </row>
    <row r="190">
      <c r="A190" s="26"/>
      <c r="C190" s="26"/>
      <c r="G190" s="26"/>
      <c r="K190" s="26"/>
    </row>
    <row r="191">
      <c r="A191" s="26"/>
      <c r="C191" s="26"/>
      <c r="G191" s="26"/>
      <c r="K191" s="26"/>
    </row>
    <row r="192">
      <c r="A192" s="26"/>
      <c r="C192" s="26"/>
      <c r="G192" s="26"/>
      <c r="K192" s="26"/>
    </row>
    <row r="193">
      <c r="A193" s="26"/>
      <c r="C193" s="26"/>
      <c r="G193" s="26"/>
      <c r="K193" s="26"/>
    </row>
    <row r="194">
      <c r="A194" s="26"/>
      <c r="C194" s="26"/>
      <c r="G194" s="26"/>
      <c r="K194" s="26"/>
    </row>
    <row r="195">
      <c r="A195" s="26"/>
      <c r="C195" s="26"/>
      <c r="G195" s="26"/>
      <c r="K195" s="26"/>
    </row>
    <row r="196">
      <c r="A196" s="26"/>
      <c r="C196" s="26"/>
      <c r="G196" s="26"/>
      <c r="K196" s="26"/>
    </row>
    <row r="197">
      <c r="A197" s="26"/>
      <c r="C197" s="26"/>
      <c r="G197" s="26"/>
      <c r="K197" s="26"/>
    </row>
    <row r="198">
      <c r="A198" s="26"/>
      <c r="C198" s="26"/>
      <c r="G198" s="26"/>
      <c r="K198" s="26"/>
    </row>
    <row r="199">
      <c r="A199" s="26"/>
      <c r="C199" s="26"/>
      <c r="G199" s="26"/>
      <c r="K199" s="26"/>
    </row>
    <row r="200">
      <c r="A200" s="26"/>
      <c r="C200" s="26"/>
      <c r="G200" s="26"/>
      <c r="K200" s="26"/>
    </row>
    <row r="201">
      <c r="A201" s="26"/>
      <c r="C201" s="26"/>
      <c r="G201" s="26"/>
      <c r="K201" s="26"/>
    </row>
    <row r="202">
      <c r="A202" s="26"/>
      <c r="C202" s="26"/>
      <c r="G202" s="26"/>
      <c r="K202" s="26"/>
    </row>
    <row r="203">
      <c r="A203" s="26"/>
      <c r="C203" s="26"/>
      <c r="G203" s="26"/>
      <c r="K203" s="26"/>
    </row>
    <row r="204">
      <c r="A204" s="26"/>
      <c r="C204" s="26"/>
      <c r="G204" s="26"/>
      <c r="K204" s="26"/>
    </row>
    <row r="205">
      <c r="A205" s="26"/>
      <c r="C205" s="26"/>
      <c r="G205" s="26"/>
      <c r="K205" s="26"/>
    </row>
    <row r="206">
      <c r="A206" s="26"/>
      <c r="C206" s="26"/>
      <c r="G206" s="26"/>
      <c r="K206" s="26"/>
    </row>
    <row r="207">
      <c r="A207" s="26"/>
      <c r="C207" s="26"/>
      <c r="G207" s="26"/>
      <c r="K207" s="26"/>
    </row>
    <row r="208">
      <c r="A208" s="26"/>
      <c r="C208" s="26"/>
      <c r="G208" s="26"/>
      <c r="K208" s="26"/>
    </row>
    <row r="209">
      <c r="A209" s="26"/>
      <c r="C209" s="26"/>
      <c r="G209" s="26"/>
      <c r="K209" s="26"/>
    </row>
    <row r="210">
      <c r="A210" s="26"/>
      <c r="C210" s="26"/>
      <c r="G210" s="26"/>
      <c r="K210" s="26"/>
    </row>
    <row r="211">
      <c r="A211" s="26"/>
      <c r="C211" s="26"/>
      <c r="G211" s="26"/>
      <c r="K211" s="26"/>
    </row>
    <row r="212">
      <c r="A212" s="26"/>
      <c r="C212" s="26"/>
      <c r="G212" s="26"/>
      <c r="K212" s="26"/>
    </row>
    <row r="213">
      <c r="A213" s="26"/>
      <c r="C213" s="26"/>
      <c r="G213" s="26"/>
      <c r="K213" s="26"/>
    </row>
    <row r="214">
      <c r="A214" s="26"/>
      <c r="C214" s="26"/>
      <c r="G214" s="26"/>
      <c r="K214" s="26"/>
    </row>
    <row r="215">
      <c r="A215" s="26"/>
      <c r="C215" s="26"/>
      <c r="G215" s="26"/>
      <c r="K215" s="26"/>
    </row>
    <row r="216">
      <c r="A216" s="26"/>
      <c r="C216" s="26"/>
      <c r="G216" s="26"/>
      <c r="K216" s="26"/>
    </row>
    <row r="217">
      <c r="A217" s="26"/>
      <c r="C217" s="26"/>
      <c r="G217" s="26"/>
      <c r="K217" s="26"/>
    </row>
    <row r="218">
      <c r="A218" s="26"/>
      <c r="C218" s="26"/>
      <c r="G218" s="26"/>
      <c r="K218" s="26"/>
    </row>
    <row r="219">
      <c r="A219" s="26"/>
      <c r="C219" s="26"/>
      <c r="G219" s="26"/>
      <c r="K219" s="26"/>
    </row>
    <row r="220">
      <c r="A220" s="26"/>
      <c r="C220" s="26"/>
      <c r="G220" s="26"/>
      <c r="K220" s="26"/>
    </row>
    <row r="221">
      <c r="A221" s="26"/>
      <c r="C221" s="26"/>
      <c r="G221" s="26"/>
      <c r="K221" s="26"/>
    </row>
    <row r="222">
      <c r="A222" s="26"/>
      <c r="C222" s="26"/>
      <c r="G222" s="26"/>
      <c r="K222" s="26"/>
    </row>
    <row r="223">
      <c r="A223" s="26"/>
      <c r="C223" s="26"/>
      <c r="G223" s="26"/>
      <c r="K223" s="26"/>
    </row>
    <row r="224">
      <c r="A224" s="26"/>
      <c r="C224" s="26"/>
      <c r="G224" s="26"/>
      <c r="K224" s="26"/>
    </row>
    <row r="225">
      <c r="A225" s="26"/>
      <c r="C225" s="26"/>
      <c r="G225" s="26"/>
      <c r="K225" s="26"/>
    </row>
    <row r="226">
      <c r="A226" s="26"/>
      <c r="C226" s="26"/>
      <c r="G226" s="26"/>
      <c r="K226" s="26"/>
    </row>
    <row r="227">
      <c r="A227" s="26"/>
      <c r="C227" s="26"/>
      <c r="G227" s="26"/>
      <c r="K227" s="26"/>
    </row>
    <row r="228">
      <c r="A228" s="26"/>
      <c r="C228" s="26"/>
      <c r="G228" s="26"/>
      <c r="K228" s="26"/>
    </row>
    <row r="229">
      <c r="A229" s="26"/>
      <c r="C229" s="26"/>
      <c r="G229" s="26"/>
      <c r="K229" s="26"/>
    </row>
    <row r="230">
      <c r="A230" s="26"/>
      <c r="C230" s="26"/>
      <c r="G230" s="26"/>
      <c r="K230" s="26"/>
    </row>
    <row r="231">
      <c r="A231" s="26"/>
      <c r="C231" s="26"/>
      <c r="G231" s="26"/>
      <c r="K231" s="26"/>
    </row>
    <row r="232">
      <c r="A232" s="26"/>
      <c r="C232" s="26"/>
      <c r="G232" s="26"/>
      <c r="K232" s="26"/>
    </row>
    <row r="233">
      <c r="A233" s="26"/>
      <c r="C233" s="26"/>
      <c r="G233" s="26"/>
      <c r="K233" s="26"/>
    </row>
    <row r="234">
      <c r="A234" s="26"/>
      <c r="C234" s="26"/>
      <c r="G234" s="26"/>
      <c r="K234" s="26"/>
    </row>
    <row r="235">
      <c r="A235" s="26"/>
      <c r="C235" s="26"/>
      <c r="G235" s="26"/>
      <c r="K235" s="26"/>
    </row>
    <row r="236">
      <c r="A236" s="26"/>
      <c r="C236" s="26"/>
      <c r="G236" s="26"/>
      <c r="K236" s="26"/>
    </row>
    <row r="237">
      <c r="A237" s="26"/>
      <c r="C237" s="26"/>
      <c r="G237" s="26"/>
      <c r="K237" s="26"/>
    </row>
    <row r="238">
      <c r="A238" s="26"/>
      <c r="C238" s="26"/>
      <c r="G238" s="26"/>
      <c r="K238" s="26"/>
    </row>
    <row r="239">
      <c r="A239" s="26"/>
      <c r="C239" s="26"/>
      <c r="G239" s="26"/>
      <c r="K239" s="26"/>
    </row>
    <row r="240">
      <c r="A240" s="26"/>
      <c r="C240" s="26"/>
      <c r="G240" s="26"/>
      <c r="K240" s="26"/>
    </row>
    <row r="241">
      <c r="A241" s="26"/>
      <c r="C241" s="26"/>
      <c r="G241" s="26"/>
      <c r="K241" s="26"/>
    </row>
    <row r="242">
      <c r="A242" s="26"/>
      <c r="C242" s="26"/>
      <c r="G242" s="26"/>
      <c r="K242" s="26"/>
    </row>
    <row r="243">
      <c r="A243" s="26"/>
      <c r="C243" s="26"/>
      <c r="G243" s="26"/>
      <c r="K243" s="26"/>
    </row>
    <row r="244">
      <c r="A244" s="26"/>
      <c r="C244" s="26"/>
      <c r="G244" s="26"/>
      <c r="K244" s="26"/>
    </row>
    <row r="245">
      <c r="A245" s="26"/>
      <c r="C245" s="26"/>
      <c r="G245" s="26"/>
      <c r="K245" s="26"/>
    </row>
    <row r="246">
      <c r="A246" s="26"/>
      <c r="C246" s="26"/>
      <c r="G246" s="26"/>
      <c r="K246" s="26"/>
    </row>
    <row r="247">
      <c r="A247" s="26"/>
      <c r="C247" s="26"/>
      <c r="G247" s="26"/>
      <c r="K247" s="26"/>
    </row>
    <row r="248">
      <c r="A248" s="26"/>
      <c r="C248" s="26"/>
      <c r="G248" s="26"/>
      <c r="K248" s="26"/>
    </row>
    <row r="249">
      <c r="A249" s="26"/>
      <c r="C249" s="26"/>
      <c r="G249" s="26"/>
      <c r="K249" s="26"/>
    </row>
    <row r="250">
      <c r="A250" s="26"/>
      <c r="C250" s="26"/>
      <c r="G250" s="26"/>
      <c r="K250" s="26"/>
    </row>
    <row r="251">
      <c r="A251" s="26"/>
      <c r="C251" s="26"/>
      <c r="G251" s="26"/>
      <c r="K251" s="26"/>
    </row>
    <row r="252">
      <c r="A252" s="26"/>
      <c r="C252" s="26"/>
      <c r="G252" s="26"/>
      <c r="K252" s="26"/>
    </row>
    <row r="253">
      <c r="A253" s="26"/>
      <c r="C253" s="26"/>
      <c r="G253" s="26"/>
      <c r="K253" s="26"/>
    </row>
    <row r="254">
      <c r="A254" s="26"/>
      <c r="C254" s="26"/>
      <c r="G254" s="26"/>
      <c r="K254" s="26"/>
    </row>
    <row r="255">
      <c r="A255" s="26"/>
      <c r="C255" s="26"/>
      <c r="G255" s="26"/>
      <c r="K255" s="26"/>
    </row>
    <row r="256">
      <c r="A256" s="26"/>
      <c r="C256" s="26"/>
      <c r="G256" s="26"/>
      <c r="K256" s="26"/>
    </row>
    <row r="257">
      <c r="A257" s="26"/>
      <c r="C257" s="26"/>
      <c r="G257" s="26"/>
      <c r="K257" s="26"/>
    </row>
    <row r="258">
      <c r="A258" s="26"/>
      <c r="C258" s="26"/>
      <c r="G258" s="26"/>
      <c r="K258" s="26"/>
    </row>
    <row r="259">
      <c r="A259" s="26"/>
      <c r="C259" s="26"/>
      <c r="G259" s="26"/>
      <c r="K259" s="26"/>
    </row>
    <row r="260">
      <c r="A260" s="26"/>
      <c r="C260" s="26"/>
      <c r="G260" s="26"/>
      <c r="K260" s="26"/>
    </row>
    <row r="261">
      <c r="A261" s="26"/>
      <c r="C261" s="26"/>
      <c r="G261" s="26"/>
      <c r="K261" s="26"/>
    </row>
    <row r="262">
      <c r="A262" s="26"/>
      <c r="C262" s="26"/>
      <c r="G262" s="26"/>
      <c r="K262" s="26"/>
    </row>
    <row r="263">
      <c r="A263" s="26"/>
      <c r="C263" s="26"/>
      <c r="G263" s="26"/>
      <c r="K263" s="26"/>
    </row>
    <row r="264">
      <c r="A264" s="26"/>
      <c r="C264" s="26"/>
      <c r="G264" s="26"/>
      <c r="K264" s="26"/>
    </row>
    <row r="265">
      <c r="A265" s="26"/>
      <c r="C265" s="26"/>
      <c r="G265" s="26"/>
      <c r="K265" s="26"/>
    </row>
    <row r="266">
      <c r="A266" s="26"/>
      <c r="C266" s="26"/>
      <c r="G266" s="26"/>
      <c r="K266" s="26"/>
    </row>
    <row r="267">
      <c r="A267" s="26"/>
      <c r="C267" s="26"/>
      <c r="G267" s="26"/>
      <c r="K267" s="26"/>
    </row>
    <row r="268">
      <c r="A268" s="26"/>
      <c r="C268" s="26"/>
      <c r="G268" s="26"/>
      <c r="K268" s="26"/>
    </row>
    <row r="269">
      <c r="A269" s="26"/>
      <c r="C269" s="26"/>
      <c r="G269" s="26"/>
      <c r="K269" s="26"/>
    </row>
    <row r="270">
      <c r="A270" s="26"/>
      <c r="C270" s="26"/>
      <c r="G270" s="26"/>
      <c r="K270" s="26"/>
    </row>
    <row r="271">
      <c r="A271" s="26"/>
      <c r="C271" s="26"/>
      <c r="G271" s="26"/>
      <c r="K271" s="26"/>
    </row>
    <row r="272">
      <c r="A272" s="26"/>
      <c r="C272" s="26"/>
      <c r="G272" s="26"/>
      <c r="K272" s="26"/>
    </row>
    <row r="273">
      <c r="A273" s="26"/>
      <c r="C273" s="26"/>
      <c r="G273" s="26"/>
      <c r="K273" s="26"/>
    </row>
    <row r="274">
      <c r="A274" s="26"/>
      <c r="C274" s="26"/>
      <c r="G274" s="26"/>
      <c r="K274" s="26"/>
    </row>
    <row r="275">
      <c r="A275" s="26"/>
      <c r="C275" s="26"/>
      <c r="G275" s="26"/>
      <c r="K275" s="26"/>
    </row>
    <row r="276">
      <c r="A276" s="26"/>
      <c r="C276" s="26"/>
      <c r="G276" s="26"/>
      <c r="K276" s="26"/>
    </row>
    <row r="277">
      <c r="A277" s="26"/>
      <c r="C277" s="26"/>
      <c r="G277" s="26"/>
      <c r="K277" s="26"/>
    </row>
    <row r="278">
      <c r="A278" s="26"/>
      <c r="C278" s="26"/>
      <c r="G278" s="26"/>
      <c r="K278" s="26"/>
    </row>
    <row r="279">
      <c r="A279" s="26"/>
      <c r="C279" s="26"/>
      <c r="G279" s="26"/>
      <c r="K279" s="26"/>
    </row>
    <row r="280">
      <c r="A280" s="26"/>
      <c r="C280" s="26"/>
      <c r="G280" s="26"/>
      <c r="K280" s="26"/>
    </row>
    <row r="281">
      <c r="A281" s="26"/>
      <c r="C281" s="26"/>
      <c r="G281" s="26"/>
      <c r="K281" s="26"/>
    </row>
    <row r="282">
      <c r="A282" s="26"/>
      <c r="C282" s="26"/>
      <c r="G282" s="26"/>
      <c r="K282" s="26"/>
    </row>
    <row r="283">
      <c r="A283" s="26"/>
      <c r="C283" s="26"/>
      <c r="G283" s="26"/>
      <c r="K283" s="26"/>
    </row>
    <row r="284">
      <c r="A284" s="26"/>
      <c r="C284" s="26"/>
      <c r="G284" s="26"/>
      <c r="K284" s="26"/>
    </row>
    <row r="285">
      <c r="A285" s="26"/>
      <c r="C285" s="26"/>
      <c r="G285" s="26"/>
      <c r="K285" s="26"/>
    </row>
    <row r="286">
      <c r="A286" s="26"/>
      <c r="C286" s="26"/>
      <c r="G286" s="26"/>
      <c r="K286" s="26"/>
    </row>
    <row r="287">
      <c r="A287" s="26"/>
      <c r="C287" s="26"/>
      <c r="G287" s="26"/>
      <c r="K287" s="26"/>
    </row>
    <row r="288">
      <c r="A288" s="26"/>
      <c r="C288" s="26"/>
      <c r="G288" s="26"/>
      <c r="K288" s="26"/>
    </row>
    <row r="289">
      <c r="A289" s="26"/>
      <c r="C289" s="26"/>
      <c r="G289" s="26"/>
      <c r="K289" s="26"/>
    </row>
    <row r="290">
      <c r="A290" s="26"/>
      <c r="C290" s="26"/>
      <c r="G290" s="26"/>
      <c r="K290" s="26"/>
    </row>
    <row r="291">
      <c r="A291" s="26"/>
      <c r="C291" s="26"/>
      <c r="G291" s="26"/>
      <c r="K291" s="26"/>
    </row>
    <row r="292">
      <c r="A292" s="26"/>
      <c r="C292" s="26"/>
      <c r="G292" s="26"/>
      <c r="K292" s="26"/>
    </row>
    <row r="293">
      <c r="A293" s="26"/>
      <c r="C293" s="26"/>
      <c r="G293" s="26"/>
      <c r="K293" s="26"/>
    </row>
    <row r="294">
      <c r="A294" s="26"/>
      <c r="C294" s="26"/>
      <c r="G294" s="26"/>
      <c r="K294" s="26"/>
    </row>
    <row r="295">
      <c r="A295" s="26"/>
      <c r="C295" s="26"/>
      <c r="G295" s="26"/>
      <c r="K295" s="26"/>
    </row>
    <row r="296">
      <c r="A296" s="26"/>
      <c r="C296" s="26"/>
      <c r="G296" s="26"/>
      <c r="K296" s="26"/>
    </row>
    <row r="297">
      <c r="A297" s="26"/>
      <c r="C297" s="26"/>
      <c r="G297" s="26"/>
      <c r="K297" s="26"/>
    </row>
    <row r="298">
      <c r="A298" s="26"/>
      <c r="C298" s="26"/>
      <c r="G298" s="26"/>
      <c r="K298" s="26"/>
    </row>
    <row r="299">
      <c r="A299" s="26"/>
      <c r="C299" s="26"/>
      <c r="G299" s="26"/>
      <c r="K299" s="26"/>
    </row>
    <row r="300">
      <c r="A300" s="26"/>
      <c r="C300" s="26"/>
      <c r="G300" s="26"/>
      <c r="K300" s="26"/>
    </row>
    <row r="301">
      <c r="A301" s="26"/>
      <c r="C301" s="26"/>
      <c r="G301" s="26"/>
      <c r="K301" s="26"/>
    </row>
    <row r="302">
      <c r="A302" s="26"/>
      <c r="C302" s="26"/>
      <c r="G302" s="26"/>
      <c r="K302" s="26"/>
    </row>
    <row r="303">
      <c r="A303" s="26"/>
      <c r="C303" s="26"/>
      <c r="G303" s="26"/>
      <c r="K303" s="26"/>
    </row>
    <row r="304">
      <c r="A304" s="26"/>
      <c r="C304" s="26"/>
      <c r="G304" s="26"/>
      <c r="K304" s="26"/>
    </row>
    <row r="305">
      <c r="A305" s="26"/>
      <c r="C305" s="26"/>
      <c r="G305" s="26"/>
      <c r="K305" s="26"/>
    </row>
    <row r="306">
      <c r="A306" s="26"/>
      <c r="C306" s="26"/>
      <c r="G306" s="26"/>
      <c r="K306" s="26"/>
    </row>
    <row r="307">
      <c r="A307" s="26"/>
      <c r="C307" s="26"/>
      <c r="G307" s="26"/>
      <c r="K307" s="26"/>
    </row>
    <row r="308">
      <c r="A308" s="26"/>
      <c r="C308" s="26"/>
      <c r="G308" s="26"/>
      <c r="K308" s="26"/>
    </row>
    <row r="309">
      <c r="A309" s="26"/>
      <c r="C309" s="26"/>
      <c r="G309" s="26"/>
      <c r="K309" s="26"/>
    </row>
    <row r="310">
      <c r="A310" s="26"/>
      <c r="C310" s="26"/>
      <c r="G310" s="26"/>
      <c r="K310" s="26"/>
    </row>
    <row r="311">
      <c r="A311" s="26"/>
      <c r="C311" s="26"/>
      <c r="G311" s="26"/>
      <c r="K311" s="26"/>
    </row>
    <row r="312">
      <c r="A312" s="26"/>
      <c r="C312" s="26"/>
      <c r="G312" s="26"/>
      <c r="K312" s="26"/>
    </row>
    <row r="313">
      <c r="A313" s="26"/>
      <c r="C313" s="26"/>
      <c r="G313" s="26"/>
      <c r="K313" s="26"/>
    </row>
    <row r="314">
      <c r="A314" s="26"/>
      <c r="C314" s="26"/>
      <c r="G314" s="26"/>
      <c r="K314" s="26"/>
    </row>
    <row r="315">
      <c r="A315" s="26"/>
      <c r="C315" s="26"/>
      <c r="G315" s="26"/>
      <c r="K315" s="26"/>
    </row>
    <row r="316">
      <c r="A316" s="26"/>
      <c r="C316" s="26"/>
      <c r="G316" s="26"/>
      <c r="K316" s="26"/>
    </row>
    <row r="317">
      <c r="A317" s="26"/>
      <c r="C317" s="26"/>
      <c r="G317" s="26"/>
      <c r="K317" s="26"/>
    </row>
    <row r="318">
      <c r="A318" s="26"/>
      <c r="C318" s="26"/>
      <c r="G318" s="26"/>
      <c r="K318" s="26"/>
    </row>
    <row r="319">
      <c r="A319" s="26"/>
      <c r="C319" s="26"/>
      <c r="G319" s="26"/>
      <c r="K319" s="26"/>
    </row>
    <row r="320">
      <c r="A320" s="26"/>
      <c r="C320" s="26"/>
      <c r="G320" s="26"/>
      <c r="K320" s="26"/>
    </row>
    <row r="321">
      <c r="A321" s="26"/>
      <c r="C321" s="26"/>
      <c r="G321" s="26"/>
      <c r="K321" s="26"/>
    </row>
    <row r="322">
      <c r="A322" s="26"/>
      <c r="C322" s="26"/>
      <c r="G322" s="26"/>
      <c r="K322" s="26"/>
    </row>
    <row r="323">
      <c r="A323" s="26"/>
      <c r="C323" s="26"/>
      <c r="G323" s="26"/>
      <c r="K323" s="26"/>
    </row>
    <row r="324">
      <c r="A324" s="26"/>
      <c r="C324" s="26"/>
      <c r="G324" s="26"/>
      <c r="K324" s="26"/>
    </row>
    <row r="325">
      <c r="A325" s="26"/>
      <c r="C325" s="26"/>
      <c r="G325" s="26"/>
      <c r="K325" s="26"/>
    </row>
    <row r="326">
      <c r="A326" s="26"/>
      <c r="C326" s="26"/>
      <c r="G326" s="26"/>
      <c r="K326" s="26"/>
    </row>
    <row r="327">
      <c r="A327" s="26"/>
      <c r="C327" s="26"/>
      <c r="G327" s="26"/>
      <c r="K327" s="26"/>
    </row>
    <row r="328">
      <c r="A328" s="26"/>
      <c r="C328" s="26"/>
      <c r="G328" s="26"/>
      <c r="K328" s="26"/>
    </row>
    <row r="329">
      <c r="A329" s="26"/>
      <c r="C329" s="26"/>
      <c r="G329" s="26"/>
      <c r="K329" s="26"/>
    </row>
    <row r="330">
      <c r="A330" s="26"/>
      <c r="C330" s="26"/>
      <c r="G330" s="26"/>
      <c r="K330" s="26"/>
    </row>
    <row r="331">
      <c r="A331" s="26"/>
      <c r="C331" s="26"/>
      <c r="G331" s="26"/>
      <c r="K331" s="26"/>
    </row>
    <row r="332">
      <c r="A332" s="26"/>
      <c r="C332" s="26"/>
      <c r="G332" s="26"/>
      <c r="K332" s="26"/>
    </row>
    <row r="333">
      <c r="A333" s="26"/>
      <c r="C333" s="26"/>
      <c r="G333" s="26"/>
      <c r="K333" s="26"/>
    </row>
    <row r="334">
      <c r="A334" s="26"/>
      <c r="C334" s="26"/>
      <c r="G334" s="26"/>
      <c r="K334" s="26"/>
    </row>
    <row r="335">
      <c r="A335" s="26"/>
      <c r="C335" s="26"/>
      <c r="G335" s="26"/>
      <c r="K335" s="26"/>
    </row>
    <row r="336">
      <c r="A336" s="26"/>
      <c r="C336" s="26"/>
      <c r="G336" s="26"/>
      <c r="K336" s="26"/>
    </row>
    <row r="337">
      <c r="A337" s="26"/>
      <c r="C337" s="26"/>
      <c r="G337" s="26"/>
      <c r="K337" s="26"/>
    </row>
    <row r="338">
      <c r="A338" s="26"/>
      <c r="C338" s="26"/>
      <c r="G338" s="26"/>
      <c r="K338" s="26"/>
    </row>
    <row r="339">
      <c r="A339" s="26"/>
      <c r="C339" s="26"/>
      <c r="G339" s="26"/>
      <c r="K339" s="26"/>
    </row>
    <row r="340">
      <c r="A340" s="26"/>
      <c r="C340" s="26"/>
      <c r="G340" s="26"/>
      <c r="K340" s="26"/>
    </row>
    <row r="341">
      <c r="A341" s="26"/>
      <c r="C341" s="26"/>
      <c r="G341" s="26"/>
      <c r="K341" s="26"/>
    </row>
    <row r="342">
      <c r="A342" s="26"/>
      <c r="C342" s="26"/>
      <c r="G342" s="26"/>
      <c r="K342" s="26"/>
    </row>
    <row r="343">
      <c r="A343" s="26"/>
      <c r="C343" s="26"/>
      <c r="G343" s="26"/>
      <c r="K343" s="26"/>
    </row>
    <row r="344">
      <c r="A344" s="26"/>
      <c r="C344" s="26"/>
      <c r="G344" s="26"/>
      <c r="K344" s="26"/>
    </row>
    <row r="345">
      <c r="A345" s="26"/>
      <c r="C345" s="26"/>
      <c r="G345" s="26"/>
      <c r="K345" s="26"/>
    </row>
    <row r="346">
      <c r="A346" s="26"/>
      <c r="C346" s="26"/>
      <c r="G346" s="26"/>
      <c r="K346" s="26"/>
    </row>
    <row r="347">
      <c r="A347" s="26"/>
      <c r="C347" s="26"/>
      <c r="G347" s="26"/>
      <c r="K347" s="26"/>
    </row>
    <row r="348">
      <c r="A348" s="26"/>
      <c r="C348" s="26"/>
      <c r="G348" s="26"/>
      <c r="K348" s="26"/>
    </row>
    <row r="349">
      <c r="A349" s="26"/>
      <c r="C349" s="26"/>
      <c r="G349" s="26"/>
      <c r="K349" s="26"/>
    </row>
    <row r="350">
      <c r="A350" s="26"/>
      <c r="C350" s="26"/>
      <c r="G350" s="26"/>
      <c r="K350" s="26"/>
    </row>
    <row r="351">
      <c r="A351" s="26"/>
      <c r="C351" s="26"/>
      <c r="G351" s="26"/>
      <c r="K351" s="26"/>
    </row>
    <row r="352">
      <c r="A352" s="26"/>
      <c r="C352" s="26"/>
      <c r="G352" s="26"/>
      <c r="K352" s="26"/>
    </row>
    <row r="353">
      <c r="A353" s="26"/>
      <c r="C353" s="26"/>
      <c r="G353" s="26"/>
      <c r="K353" s="26"/>
    </row>
    <row r="354">
      <c r="A354" s="26"/>
      <c r="C354" s="26"/>
      <c r="G354" s="26"/>
      <c r="K354" s="26"/>
    </row>
    <row r="355">
      <c r="A355" s="26"/>
      <c r="C355" s="26"/>
      <c r="G355" s="26"/>
      <c r="K355" s="26"/>
    </row>
    <row r="356">
      <c r="A356" s="26"/>
      <c r="C356" s="26"/>
      <c r="G356" s="26"/>
      <c r="K356" s="26"/>
    </row>
    <row r="357">
      <c r="A357" s="26"/>
      <c r="C357" s="26"/>
      <c r="G357" s="26"/>
      <c r="K357" s="26"/>
    </row>
    <row r="358">
      <c r="A358" s="26"/>
      <c r="C358" s="26"/>
      <c r="G358" s="26"/>
      <c r="K358" s="26"/>
    </row>
    <row r="359">
      <c r="A359" s="26"/>
      <c r="C359" s="26"/>
      <c r="G359" s="26"/>
      <c r="K359" s="26"/>
    </row>
    <row r="360">
      <c r="A360" s="26"/>
      <c r="C360" s="26"/>
      <c r="G360" s="26"/>
      <c r="K360" s="26"/>
    </row>
    <row r="361">
      <c r="A361" s="26"/>
      <c r="C361" s="26"/>
      <c r="G361" s="26"/>
      <c r="K361" s="26"/>
    </row>
    <row r="362">
      <c r="A362" s="26"/>
      <c r="C362" s="26"/>
      <c r="G362" s="26"/>
      <c r="K362" s="26"/>
    </row>
    <row r="363">
      <c r="A363" s="26"/>
      <c r="C363" s="26"/>
      <c r="G363" s="26"/>
      <c r="K363" s="26"/>
    </row>
    <row r="364">
      <c r="A364" s="26"/>
      <c r="C364" s="26"/>
      <c r="G364" s="26"/>
      <c r="K364" s="26"/>
    </row>
    <row r="365">
      <c r="A365" s="26"/>
      <c r="C365" s="26"/>
      <c r="G365" s="26"/>
      <c r="K365" s="26"/>
    </row>
    <row r="366">
      <c r="A366" s="26"/>
      <c r="C366" s="26"/>
      <c r="G366" s="26"/>
      <c r="K366" s="26"/>
    </row>
    <row r="367">
      <c r="A367" s="26"/>
      <c r="C367" s="26"/>
      <c r="G367" s="26"/>
      <c r="K367" s="26"/>
    </row>
    <row r="368">
      <c r="A368" s="26"/>
      <c r="C368" s="26"/>
      <c r="G368" s="26"/>
      <c r="K368" s="26"/>
    </row>
    <row r="369">
      <c r="A369" s="26"/>
      <c r="C369" s="26"/>
      <c r="G369" s="26"/>
      <c r="K369" s="26"/>
    </row>
    <row r="370">
      <c r="A370" s="26"/>
      <c r="C370" s="26"/>
      <c r="G370" s="26"/>
      <c r="K370" s="26"/>
    </row>
    <row r="371">
      <c r="A371" s="26"/>
      <c r="C371" s="26"/>
      <c r="G371" s="26"/>
      <c r="K371" s="26"/>
    </row>
    <row r="372">
      <c r="A372" s="26"/>
      <c r="C372" s="26"/>
      <c r="G372" s="26"/>
      <c r="K372" s="26"/>
    </row>
    <row r="373">
      <c r="A373" s="26"/>
      <c r="C373" s="26"/>
      <c r="G373" s="26"/>
      <c r="K373" s="26"/>
    </row>
    <row r="374">
      <c r="A374" s="26"/>
      <c r="C374" s="26"/>
      <c r="G374" s="26"/>
      <c r="K374" s="26"/>
    </row>
    <row r="375">
      <c r="A375" s="26"/>
      <c r="C375" s="26"/>
      <c r="G375" s="26"/>
      <c r="K375" s="26"/>
    </row>
    <row r="376">
      <c r="A376" s="26"/>
      <c r="C376" s="26"/>
      <c r="G376" s="26"/>
      <c r="K376" s="26"/>
    </row>
    <row r="377">
      <c r="A377" s="26"/>
      <c r="C377" s="26"/>
      <c r="G377" s="26"/>
      <c r="K377" s="26"/>
    </row>
    <row r="378">
      <c r="A378" s="26"/>
      <c r="C378" s="26"/>
      <c r="G378" s="26"/>
      <c r="K378" s="26"/>
    </row>
    <row r="379">
      <c r="A379" s="26"/>
      <c r="C379" s="26"/>
      <c r="G379" s="26"/>
      <c r="K379" s="26"/>
    </row>
    <row r="380">
      <c r="A380" s="26"/>
      <c r="C380" s="26"/>
      <c r="G380" s="26"/>
      <c r="K380" s="26"/>
    </row>
    <row r="381">
      <c r="A381" s="26"/>
      <c r="C381" s="26"/>
      <c r="G381" s="26"/>
      <c r="K381" s="26"/>
    </row>
    <row r="382">
      <c r="A382" s="26"/>
      <c r="C382" s="26"/>
      <c r="G382" s="26"/>
      <c r="K382" s="26"/>
    </row>
    <row r="383">
      <c r="A383" s="26"/>
      <c r="C383" s="26"/>
      <c r="G383" s="26"/>
      <c r="K383" s="26"/>
    </row>
    <row r="384">
      <c r="A384" s="26"/>
      <c r="C384" s="26"/>
      <c r="G384" s="26"/>
      <c r="K384" s="26"/>
    </row>
    <row r="385">
      <c r="A385" s="26"/>
      <c r="C385" s="26"/>
      <c r="G385" s="26"/>
      <c r="K385" s="26"/>
    </row>
    <row r="386">
      <c r="A386" s="26"/>
      <c r="C386" s="26"/>
      <c r="G386" s="26"/>
      <c r="K386" s="26"/>
    </row>
    <row r="387">
      <c r="A387" s="26"/>
      <c r="C387" s="26"/>
      <c r="G387" s="26"/>
      <c r="K387" s="26"/>
    </row>
    <row r="388">
      <c r="A388" s="26"/>
      <c r="C388" s="26"/>
      <c r="G388" s="26"/>
      <c r="K388" s="26"/>
    </row>
    <row r="389">
      <c r="A389" s="26"/>
      <c r="C389" s="26"/>
      <c r="G389" s="26"/>
      <c r="K389" s="26"/>
    </row>
    <row r="390">
      <c r="A390" s="26"/>
      <c r="C390" s="26"/>
      <c r="G390" s="26"/>
      <c r="K390" s="26"/>
    </row>
    <row r="391">
      <c r="A391" s="26"/>
      <c r="C391" s="26"/>
      <c r="G391" s="26"/>
      <c r="K391" s="26"/>
    </row>
    <row r="392">
      <c r="A392" s="26"/>
      <c r="C392" s="26"/>
      <c r="G392" s="26"/>
      <c r="K392" s="26"/>
    </row>
    <row r="393">
      <c r="A393" s="26"/>
      <c r="C393" s="26"/>
      <c r="G393" s="26"/>
      <c r="K393" s="26"/>
    </row>
    <row r="394">
      <c r="A394" s="26"/>
      <c r="C394" s="26"/>
      <c r="G394" s="26"/>
      <c r="K394" s="26"/>
    </row>
    <row r="395">
      <c r="A395" s="26"/>
      <c r="C395" s="26"/>
      <c r="G395" s="26"/>
      <c r="K395" s="26"/>
    </row>
    <row r="396">
      <c r="A396" s="26"/>
      <c r="C396" s="26"/>
      <c r="G396" s="26"/>
      <c r="K396" s="26"/>
    </row>
    <row r="397">
      <c r="A397" s="26"/>
      <c r="C397" s="26"/>
      <c r="G397" s="26"/>
      <c r="K397" s="26"/>
    </row>
    <row r="398">
      <c r="A398" s="26"/>
      <c r="C398" s="26"/>
      <c r="G398" s="26"/>
      <c r="K398" s="26"/>
    </row>
    <row r="399">
      <c r="A399" s="26"/>
      <c r="C399" s="26"/>
      <c r="G399" s="26"/>
      <c r="K399" s="26"/>
    </row>
    <row r="400">
      <c r="A400" s="26"/>
      <c r="C400" s="26"/>
      <c r="G400" s="26"/>
      <c r="K400" s="26"/>
    </row>
    <row r="401">
      <c r="A401" s="26"/>
      <c r="C401" s="26"/>
      <c r="G401" s="26"/>
      <c r="K401" s="26"/>
    </row>
    <row r="402">
      <c r="A402" s="26"/>
      <c r="C402" s="26"/>
      <c r="G402" s="26"/>
      <c r="K402" s="26"/>
    </row>
    <row r="403">
      <c r="A403" s="26"/>
      <c r="C403" s="26"/>
      <c r="G403" s="26"/>
      <c r="K403" s="26"/>
    </row>
    <row r="404">
      <c r="A404" s="26"/>
      <c r="C404" s="26"/>
      <c r="G404" s="26"/>
      <c r="K404" s="26"/>
    </row>
    <row r="405">
      <c r="A405" s="26"/>
      <c r="C405" s="26"/>
      <c r="G405" s="26"/>
      <c r="K405" s="26"/>
    </row>
    <row r="406">
      <c r="A406" s="26"/>
      <c r="C406" s="26"/>
      <c r="G406" s="26"/>
      <c r="K406" s="26"/>
    </row>
    <row r="407">
      <c r="A407" s="26"/>
      <c r="C407" s="26"/>
      <c r="G407" s="26"/>
      <c r="K407" s="26"/>
    </row>
    <row r="408">
      <c r="A408" s="26"/>
      <c r="C408" s="26"/>
      <c r="G408" s="26"/>
      <c r="K408" s="26"/>
    </row>
    <row r="409">
      <c r="A409" s="26"/>
      <c r="C409" s="26"/>
      <c r="G409" s="26"/>
      <c r="K409" s="26"/>
    </row>
    <row r="410">
      <c r="A410" s="26"/>
      <c r="C410" s="26"/>
      <c r="G410" s="26"/>
      <c r="K410" s="26"/>
    </row>
    <row r="411">
      <c r="A411" s="26"/>
      <c r="C411" s="26"/>
      <c r="G411" s="26"/>
      <c r="K411" s="26"/>
    </row>
    <row r="412">
      <c r="A412" s="26"/>
      <c r="C412" s="26"/>
      <c r="G412" s="26"/>
      <c r="K412" s="26"/>
    </row>
    <row r="413">
      <c r="A413" s="26"/>
      <c r="C413" s="26"/>
      <c r="G413" s="26"/>
      <c r="K413" s="26"/>
    </row>
    <row r="414">
      <c r="A414" s="26"/>
      <c r="C414" s="26"/>
      <c r="G414" s="26"/>
      <c r="K414" s="26"/>
    </row>
    <row r="415">
      <c r="A415" s="26"/>
      <c r="C415" s="26"/>
      <c r="G415" s="26"/>
      <c r="K415" s="26"/>
    </row>
    <row r="416">
      <c r="A416" s="26"/>
      <c r="C416" s="26"/>
      <c r="G416" s="26"/>
      <c r="K416" s="26"/>
    </row>
    <row r="417">
      <c r="A417" s="26"/>
      <c r="C417" s="26"/>
      <c r="G417" s="26"/>
      <c r="K417" s="26"/>
    </row>
    <row r="418">
      <c r="A418" s="26"/>
      <c r="C418" s="26"/>
      <c r="G418" s="26"/>
      <c r="K418" s="26"/>
    </row>
    <row r="419">
      <c r="A419" s="26"/>
      <c r="C419" s="26"/>
      <c r="G419" s="26"/>
      <c r="K419" s="26"/>
    </row>
    <row r="420">
      <c r="A420" s="26"/>
      <c r="C420" s="26"/>
      <c r="G420" s="26"/>
      <c r="K420" s="26"/>
    </row>
    <row r="421">
      <c r="A421" s="26"/>
      <c r="C421" s="26"/>
      <c r="G421" s="26"/>
      <c r="K421" s="26"/>
    </row>
    <row r="422">
      <c r="A422" s="26"/>
      <c r="C422" s="26"/>
      <c r="G422" s="26"/>
      <c r="K422" s="26"/>
    </row>
    <row r="423">
      <c r="A423" s="26"/>
      <c r="C423" s="26"/>
      <c r="G423" s="26"/>
      <c r="K423" s="26"/>
    </row>
    <row r="424">
      <c r="A424" s="26"/>
      <c r="C424" s="26"/>
      <c r="G424" s="26"/>
      <c r="K424" s="26"/>
    </row>
    <row r="425">
      <c r="A425" s="26"/>
      <c r="C425" s="26"/>
      <c r="G425" s="26"/>
      <c r="K425" s="26"/>
    </row>
    <row r="426">
      <c r="A426" s="26"/>
      <c r="C426" s="26"/>
      <c r="G426" s="26"/>
      <c r="K426" s="26"/>
    </row>
    <row r="427">
      <c r="A427" s="26"/>
      <c r="C427" s="26"/>
      <c r="G427" s="26"/>
      <c r="K427" s="26"/>
    </row>
    <row r="428">
      <c r="A428" s="26"/>
      <c r="C428" s="26"/>
      <c r="G428" s="26"/>
      <c r="K428" s="26"/>
    </row>
    <row r="429">
      <c r="A429" s="26"/>
      <c r="C429" s="26"/>
      <c r="G429" s="26"/>
      <c r="K429" s="26"/>
    </row>
    <row r="430">
      <c r="A430" s="26"/>
      <c r="C430" s="26"/>
      <c r="G430" s="26"/>
      <c r="K430" s="26"/>
    </row>
    <row r="431">
      <c r="A431" s="26"/>
      <c r="C431" s="26"/>
      <c r="G431" s="26"/>
      <c r="K431" s="26"/>
    </row>
    <row r="432">
      <c r="A432" s="26"/>
      <c r="C432" s="26"/>
      <c r="G432" s="26"/>
      <c r="K432" s="26"/>
    </row>
    <row r="433">
      <c r="A433" s="26"/>
      <c r="C433" s="26"/>
      <c r="G433" s="26"/>
      <c r="K433" s="26"/>
    </row>
    <row r="434">
      <c r="A434" s="26"/>
      <c r="C434" s="26"/>
      <c r="G434" s="26"/>
      <c r="K434" s="26"/>
    </row>
    <row r="435">
      <c r="A435" s="26"/>
      <c r="C435" s="26"/>
      <c r="G435" s="26"/>
      <c r="K435" s="26"/>
    </row>
    <row r="436">
      <c r="A436" s="26"/>
      <c r="C436" s="26"/>
      <c r="G436" s="26"/>
      <c r="K436" s="26"/>
    </row>
    <row r="437">
      <c r="A437" s="26"/>
      <c r="C437" s="26"/>
      <c r="G437" s="26"/>
      <c r="K437" s="26"/>
    </row>
    <row r="438">
      <c r="A438" s="26"/>
      <c r="C438" s="26"/>
      <c r="G438" s="26"/>
      <c r="K438" s="26"/>
    </row>
    <row r="439">
      <c r="A439" s="26"/>
      <c r="C439" s="26"/>
      <c r="G439" s="26"/>
      <c r="K439" s="26"/>
    </row>
    <row r="440">
      <c r="A440" s="26"/>
      <c r="C440" s="26"/>
      <c r="G440" s="26"/>
      <c r="K440" s="26"/>
    </row>
    <row r="441">
      <c r="A441" s="26"/>
      <c r="C441" s="26"/>
      <c r="G441" s="26"/>
      <c r="K441" s="26"/>
    </row>
    <row r="442">
      <c r="A442" s="26"/>
      <c r="C442" s="26"/>
      <c r="G442" s="26"/>
      <c r="K442" s="26"/>
    </row>
    <row r="443">
      <c r="A443" s="26"/>
      <c r="C443" s="26"/>
      <c r="G443" s="26"/>
      <c r="K443" s="26"/>
    </row>
    <row r="444">
      <c r="A444" s="26"/>
      <c r="C444" s="26"/>
      <c r="G444" s="26"/>
      <c r="K444" s="26"/>
    </row>
    <row r="445">
      <c r="A445" s="26"/>
      <c r="C445" s="26"/>
      <c r="G445" s="26"/>
      <c r="K445" s="26"/>
    </row>
    <row r="446">
      <c r="A446" s="26"/>
      <c r="C446" s="26"/>
      <c r="G446" s="26"/>
      <c r="K446" s="26"/>
    </row>
    <row r="447">
      <c r="A447" s="26"/>
      <c r="C447" s="26"/>
      <c r="G447" s="26"/>
      <c r="K447" s="26"/>
    </row>
    <row r="448">
      <c r="A448" s="26"/>
      <c r="C448" s="26"/>
      <c r="G448" s="26"/>
      <c r="K448" s="26"/>
    </row>
    <row r="449">
      <c r="A449" s="26"/>
      <c r="C449" s="26"/>
      <c r="G449" s="26"/>
      <c r="K449" s="26"/>
    </row>
    <row r="450">
      <c r="A450" s="26"/>
      <c r="C450" s="26"/>
      <c r="G450" s="26"/>
      <c r="K450" s="26"/>
    </row>
    <row r="451">
      <c r="A451" s="26"/>
      <c r="C451" s="26"/>
      <c r="G451" s="26"/>
      <c r="K451" s="26"/>
    </row>
    <row r="452">
      <c r="A452" s="26"/>
      <c r="C452" s="26"/>
      <c r="G452" s="26"/>
      <c r="K452" s="26"/>
    </row>
    <row r="453">
      <c r="A453" s="26"/>
      <c r="C453" s="26"/>
      <c r="G453" s="26"/>
      <c r="K453" s="26"/>
    </row>
    <row r="454">
      <c r="A454" s="26"/>
      <c r="C454" s="26"/>
      <c r="G454" s="26"/>
      <c r="K454" s="26"/>
    </row>
    <row r="455">
      <c r="A455" s="26"/>
      <c r="C455" s="26"/>
      <c r="G455" s="26"/>
      <c r="K455" s="26"/>
    </row>
    <row r="456">
      <c r="A456" s="26"/>
      <c r="C456" s="26"/>
      <c r="G456" s="26"/>
      <c r="K456" s="26"/>
    </row>
    <row r="457">
      <c r="A457" s="26"/>
      <c r="C457" s="26"/>
      <c r="G457" s="26"/>
      <c r="K457" s="26"/>
    </row>
    <row r="458">
      <c r="A458" s="26"/>
      <c r="C458" s="26"/>
      <c r="G458" s="26"/>
      <c r="K458" s="26"/>
    </row>
    <row r="459">
      <c r="A459" s="26"/>
      <c r="C459" s="26"/>
      <c r="G459" s="26"/>
      <c r="K459" s="26"/>
    </row>
    <row r="460">
      <c r="A460" s="26"/>
      <c r="C460" s="26"/>
      <c r="G460" s="26"/>
      <c r="K460" s="26"/>
    </row>
    <row r="461">
      <c r="A461" s="26"/>
      <c r="C461" s="26"/>
      <c r="G461" s="26"/>
      <c r="K461" s="26"/>
    </row>
    <row r="462">
      <c r="A462" s="26"/>
      <c r="C462" s="26"/>
      <c r="G462" s="26"/>
      <c r="K462" s="26"/>
    </row>
    <row r="463">
      <c r="A463" s="26"/>
      <c r="C463" s="26"/>
      <c r="G463" s="26"/>
      <c r="K463" s="26"/>
    </row>
    <row r="464">
      <c r="A464" s="26"/>
      <c r="C464" s="26"/>
      <c r="G464" s="26"/>
      <c r="K464" s="26"/>
    </row>
    <row r="465">
      <c r="A465" s="26"/>
      <c r="C465" s="26"/>
      <c r="G465" s="26"/>
      <c r="K465" s="26"/>
    </row>
    <row r="466">
      <c r="A466" s="26"/>
      <c r="C466" s="26"/>
      <c r="G466" s="26"/>
      <c r="K466" s="26"/>
    </row>
    <row r="467">
      <c r="A467" s="26"/>
      <c r="C467" s="26"/>
      <c r="G467" s="26"/>
      <c r="K467" s="26"/>
    </row>
    <row r="468">
      <c r="A468" s="26"/>
      <c r="C468" s="26"/>
      <c r="G468" s="26"/>
      <c r="K468" s="26"/>
    </row>
    <row r="469">
      <c r="A469" s="26"/>
      <c r="C469" s="26"/>
      <c r="G469" s="26"/>
      <c r="K469" s="26"/>
    </row>
    <row r="470">
      <c r="A470" s="26"/>
      <c r="C470" s="26"/>
      <c r="G470" s="26"/>
      <c r="K470" s="26"/>
    </row>
    <row r="471">
      <c r="A471" s="26"/>
      <c r="C471" s="26"/>
      <c r="G471" s="26"/>
      <c r="K471" s="26"/>
    </row>
    <row r="472">
      <c r="A472" s="26"/>
      <c r="C472" s="26"/>
      <c r="G472" s="26"/>
      <c r="K472" s="26"/>
    </row>
    <row r="473">
      <c r="A473" s="26"/>
      <c r="C473" s="26"/>
      <c r="G473" s="26"/>
      <c r="K473" s="26"/>
    </row>
    <row r="474">
      <c r="A474" s="26"/>
      <c r="C474" s="26"/>
      <c r="G474" s="26"/>
      <c r="K474" s="26"/>
    </row>
    <row r="475">
      <c r="A475" s="26"/>
      <c r="C475" s="26"/>
      <c r="G475" s="26"/>
      <c r="K475" s="26"/>
    </row>
    <row r="476">
      <c r="A476" s="26"/>
      <c r="C476" s="26"/>
      <c r="G476" s="26"/>
      <c r="K476" s="26"/>
    </row>
    <row r="477">
      <c r="A477" s="26"/>
      <c r="C477" s="26"/>
      <c r="G477" s="26"/>
      <c r="K477" s="26"/>
    </row>
    <row r="478">
      <c r="A478" s="26"/>
      <c r="C478" s="26"/>
      <c r="G478" s="26"/>
      <c r="K478" s="26"/>
    </row>
    <row r="479">
      <c r="A479" s="26"/>
      <c r="C479" s="26"/>
      <c r="G479" s="26"/>
      <c r="K479" s="26"/>
    </row>
    <row r="480">
      <c r="A480" s="26"/>
      <c r="C480" s="26"/>
      <c r="G480" s="26"/>
      <c r="K480" s="26"/>
    </row>
    <row r="481">
      <c r="A481" s="26"/>
      <c r="C481" s="26"/>
      <c r="G481" s="26"/>
      <c r="K481" s="26"/>
    </row>
    <row r="482">
      <c r="A482" s="26"/>
      <c r="C482" s="26"/>
      <c r="G482" s="26"/>
      <c r="K482" s="26"/>
    </row>
    <row r="483">
      <c r="A483" s="26"/>
      <c r="C483" s="26"/>
      <c r="G483" s="26"/>
      <c r="K483" s="26"/>
    </row>
    <row r="484">
      <c r="A484" s="26"/>
      <c r="C484" s="26"/>
      <c r="G484" s="26"/>
      <c r="K484" s="26"/>
    </row>
    <row r="485">
      <c r="A485" s="26"/>
      <c r="C485" s="26"/>
      <c r="G485" s="26"/>
      <c r="K485" s="26"/>
    </row>
    <row r="486">
      <c r="A486" s="26"/>
      <c r="C486" s="26"/>
      <c r="G486" s="26"/>
      <c r="K486" s="26"/>
    </row>
    <row r="487">
      <c r="A487" s="26"/>
      <c r="C487" s="26"/>
      <c r="G487" s="26"/>
      <c r="K487" s="26"/>
    </row>
    <row r="488">
      <c r="A488" s="26"/>
      <c r="C488" s="26"/>
      <c r="G488" s="26"/>
      <c r="K488" s="26"/>
    </row>
    <row r="489">
      <c r="A489" s="26"/>
      <c r="C489" s="26"/>
      <c r="G489" s="26"/>
      <c r="K489" s="26"/>
    </row>
    <row r="490">
      <c r="A490" s="26"/>
      <c r="C490" s="26"/>
      <c r="G490" s="26"/>
      <c r="K490" s="26"/>
    </row>
    <row r="491">
      <c r="A491" s="26"/>
      <c r="C491" s="26"/>
      <c r="G491" s="26"/>
      <c r="K491" s="26"/>
    </row>
    <row r="492">
      <c r="A492" s="26"/>
      <c r="C492" s="26"/>
      <c r="G492" s="26"/>
      <c r="K492" s="26"/>
    </row>
    <row r="493">
      <c r="A493" s="26"/>
      <c r="C493" s="26"/>
      <c r="G493" s="26"/>
      <c r="K493" s="26"/>
    </row>
    <row r="494">
      <c r="A494" s="26"/>
      <c r="C494" s="26"/>
      <c r="G494" s="26"/>
      <c r="K494" s="26"/>
    </row>
    <row r="495">
      <c r="A495" s="26"/>
      <c r="C495" s="26"/>
      <c r="G495" s="26"/>
      <c r="K495" s="26"/>
    </row>
    <row r="496">
      <c r="A496" s="26"/>
      <c r="C496" s="26"/>
      <c r="G496" s="26"/>
      <c r="K496" s="26"/>
    </row>
    <row r="497">
      <c r="A497" s="26"/>
      <c r="C497" s="26"/>
      <c r="G497" s="26"/>
      <c r="K497" s="26"/>
    </row>
    <row r="498">
      <c r="A498" s="26"/>
      <c r="C498" s="26"/>
      <c r="G498" s="26"/>
      <c r="K498" s="26"/>
    </row>
    <row r="499">
      <c r="A499" s="26"/>
      <c r="C499" s="26"/>
      <c r="G499" s="26"/>
      <c r="K499" s="26"/>
    </row>
    <row r="500">
      <c r="A500" s="26"/>
      <c r="C500" s="26"/>
      <c r="G500" s="26"/>
      <c r="K500" s="26"/>
    </row>
    <row r="501">
      <c r="A501" s="26"/>
      <c r="C501" s="26"/>
      <c r="G501" s="26"/>
      <c r="K501" s="26"/>
    </row>
    <row r="502">
      <c r="A502" s="26"/>
      <c r="C502" s="26"/>
      <c r="G502" s="26"/>
      <c r="K502" s="26"/>
    </row>
    <row r="503">
      <c r="A503" s="26"/>
      <c r="C503" s="26"/>
      <c r="G503" s="26"/>
      <c r="K503" s="26"/>
    </row>
    <row r="504">
      <c r="A504" s="26"/>
      <c r="C504" s="26"/>
      <c r="G504" s="26"/>
      <c r="K504" s="26"/>
    </row>
    <row r="505">
      <c r="A505" s="26"/>
      <c r="C505" s="26"/>
      <c r="G505" s="26"/>
      <c r="K505" s="26"/>
    </row>
    <row r="506">
      <c r="A506" s="26"/>
      <c r="C506" s="26"/>
      <c r="G506" s="26"/>
      <c r="K506" s="26"/>
    </row>
    <row r="507">
      <c r="A507" s="26"/>
      <c r="C507" s="26"/>
      <c r="G507" s="26"/>
      <c r="K507" s="26"/>
    </row>
    <row r="508">
      <c r="A508" s="26"/>
      <c r="C508" s="26"/>
      <c r="G508" s="26"/>
      <c r="K508" s="26"/>
    </row>
    <row r="509">
      <c r="A509" s="26"/>
      <c r="C509" s="26"/>
      <c r="G509" s="26"/>
      <c r="K509" s="26"/>
    </row>
    <row r="510">
      <c r="A510" s="26"/>
      <c r="C510" s="26"/>
      <c r="G510" s="26"/>
      <c r="K510" s="26"/>
    </row>
    <row r="511">
      <c r="A511" s="26"/>
      <c r="C511" s="26"/>
      <c r="G511" s="26"/>
      <c r="K511" s="26"/>
    </row>
    <row r="512">
      <c r="A512" s="26"/>
      <c r="C512" s="26"/>
      <c r="G512" s="26"/>
      <c r="K512" s="26"/>
    </row>
    <row r="513">
      <c r="A513" s="26"/>
      <c r="C513" s="26"/>
      <c r="G513" s="26"/>
      <c r="K513" s="26"/>
    </row>
    <row r="514">
      <c r="A514" s="26"/>
      <c r="C514" s="26"/>
      <c r="G514" s="26"/>
      <c r="K514" s="26"/>
    </row>
    <row r="515">
      <c r="A515" s="26"/>
      <c r="C515" s="26"/>
      <c r="G515" s="26"/>
      <c r="K515" s="26"/>
    </row>
    <row r="516">
      <c r="A516" s="26"/>
      <c r="C516" s="26"/>
      <c r="G516" s="26"/>
      <c r="K516" s="26"/>
    </row>
    <row r="517">
      <c r="A517" s="26"/>
      <c r="C517" s="26"/>
      <c r="G517" s="26"/>
      <c r="K517" s="26"/>
    </row>
    <row r="518">
      <c r="A518" s="26"/>
      <c r="C518" s="26"/>
      <c r="G518" s="26"/>
      <c r="K518" s="26"/>
    </row>
    <row r="519">
      <c r="A519" s="26"/>
      <c r="C519" s="26"/>
      <c r="G519" s="26"/>
      <c r="K519" s="26"/>
    </row>
    <row r="520">
      <c r="A520" s="26"/>
      <c r="C520" s="26"/>
      <c r="G520" s="26"/>
      <c r="K520" s="26"/>
    </row>
    <row r="521">
      <c r="A521" s="26"/>
      <c r="C521" s="26"/>
      <c r="G521" s="26"/>
      <c r="K521" s="26"/>
    </row>
    <row r="522">
      <c r="A522" s="26"/>
      <c r="C522" s="26"/>
      <c r="G522" s="26"/>
      <c r="K522" s="26"/>
    </row>
    <row r="523">
      <c r="A523" s="26"/>
      <c r="C523" s="26"/>
      <c r="G523" s="26"/>
      <c r="K523" s="26"/>
    </row>
    <row r="524">
      <c r="A524" s="26"/>
      <c r="C524" s="26"/>
      <c r="G524" s="26"/>
      <c r="K524" s="26"/>
    </row>
    <row r="525">
      <c r="A525" s="26"/>
      <c r="C525" s="26"/>
      <c r="G525" s="26"/>
      <c r="K525" s="26"/>
    </row>
    <row r="526">
      <c r="A526" s="26"/>
      <c r="C526" s="26"/>
      <c r="G526" s="26"/>
      <c r="K526" s="26"/>
    </row>
    <row r="527">
      <c r="A527" s="26"/>
      <c r="C527" s="26"/>
      <c r="G527" s="26"/>
      <c r="K527" s="26"/>
    </row>
    <row r="528">
      <c r="A528" s="26"/>
      <c r="C528" s="26"/>
      <c r="G528" s="26"/>
      <c r="K528" s="26"/>
    </row>
    <row r="529">
      <c r="A529" s="26"/>
      <c r="C529" s="26"/>
      <c r="G529" s="26"/>
      <c r="K529" s="26"/>
    </row>
    <row r="530">
      <c r="A530" s="26"/>
      <c r="C530" s="26"/>
      <c r="G530" s="26"/>
      <c r="K530" s="26"/>
    </row>
    <row r="531">
      <c r="A531" s="26"/>
      <c r="C531" s="26"/>
      <c r="G531" s="26"/>
      <c r="K531" s="26"/>
    </row>
    <row r="532">
      <c r="A532" s="26"/>
      <c r="C532" s="26"/>
      <c r="G532" s="26"/>
      <c r="K532" s="26"/>
    </row>
    <row r="533">
      <c r="A533" s="26"/>
      <c r="C533" s="26"/>
      <c r="G533" s="26"/>
      <c r="K533" s="26"/>
    </row>
    <row r="534">
      <c r="A534" s="26"/>
      <c r="C534" s="26"/>
      <c r="G534" s="26"/>
      <c r="K534" s="26"/>
    </row>
    <row r="535">
      <c r="A535" s="26"/>
      <c r="C535" s="26"/>
      <c r="G535" s="26"/>
      <c r="K535" s="26"/>
    </row>
    <row r="536">
      <c r="A536" s="26"/>
      <c r="C536" s="26"/>
      <c r="G536" s="26"/>
      <c r="K536" s="26"/>
    </row>
    <row r="537">
      <c r="A537" s="26"/>
      <c r="C537" s="26"/>
      <c r="G537" s="26"/>
      <c r="K537" s="26"/>
    </row>
    <row r="538">
      <c r="A538" s="26"/>
      <c r="C538" s="26"/>
      <c r="G538" s="26"/>
      <c r="K538" s="26"/>
    </row>
    <row r="539">
      <c r="A539" s="26"/>
      <c r="C539" s="26"/>
      <c r="G539" s="26"/>
      <c r="K539" s="26"/>
    </row>
    <row r="540">
      <c r="A540" s="26"/>
      <c r="C540" s="26"/>
      <c r="G540" s="26"/>
      <c r="K540" s="26"/>
    </row>
    <row r="541">
      <c r="A541" s="26"/>
      <c r="C541" s="26"/>
      <c r="G541" s="26"/>
      <c r="K541" s="26"/>
    </row>
    <row r="542">
      <c r="A542" s="26"/>
      <c r="C542" s="26"/>
      <c r="G542" s="26"/>
      <c r="K542" s="26"/>
    </row>
    <row r="543">
      <c r="A543" s="26"/>
      <c r="C543" s="26"/>
      <c r="G543" s="26"/>
      <c r="K543" s="26"/>
    </row>
    <row r="544">
      <c r="A544" s="26"/>
      <c r="C544" s="26"/>
      <c r="G544" s="26"/>
      <c r="K544" s="26"/>
    </row>
    <row r="545">
      <c r="A545" s="26"/>
      <c r="C545" s="26"/>
      <c r="G545" s="26"/>
      <c r="K545" s="26"/>
    </row>
    <row r="546">
      <c r="A546" s="26"/>
      <c r="C546" s="26"/>
      <c r="G546" s="26"/>
      <c r="K546" s="26"/>
    </row>
    <row r="547">
      <c r="A547" s="26"/>
      <c r="C547" s="26"/>
      <c r="G547" s="26"/>
      <c r="K547" s="26"/>
    </row>
    <row r="548">
      <c r="A548" s="26"/>
      <c r="C548" s="26"/>
      <c r="G548" s="26"/>
      <c r="K548" s="26"/>
    </row>
    <row r="549">
      <c r="A549" s="26"/>
      <c r="C549" s="26"/>
      <c r="G549" s="26"/>
      <c r="K549" s="26"/>
    </row>
    <row r="550">
      <c r="A550" s="26"/>
      <c r="C550" s="26"/>
      <c r="G550" s="26"/>
      <c r="K550" s="26"/>
    </row>
    <row r="551">
      <c r="A551" s="26"/>
      <c r="C551" s="26"/>
      <c r="G551" s="26"/>
      <c r="K551" s="26"/>
    </row>
    <row r="552">
      <c r="A552" s="26"/>
      <c r="C552" s="26"/>
      <c r="G552" s="26"/>
      <c r="K552" s="26"/>
    </row>
    <row r="553">
      <c r="A553" s="26"/>
      <c r="C553" s="26"/>
      <c r="G553" s="26"/>
      <c r="K553" s="26"/>
    </row>
    <row r="554">
      <c r="A554" s="26"/>
      <c r="C554" s="26"/>
      <c r="G554" s="26"/>
      <c r="K554" s="26"/>
    </row>
    <row r="555">
      <c r="A555" s="26"/>
      <c r="C555" s="26"/>
      <c r="G555" s="26"/>
      <c r="K555" s="26"/>
    </row>
    <row r="556">
      <c r="A556" s="26"/>
      <c r="C556" s="26"/>
      <c r="G556" s="26"/>
      <c r="K556" s="26"/>
    </row>
    <row r="557">
      <c r="A557" s="26"/>
      <c r="C557" s="26"/>
      <c r="G557" s="26"/>
      <c r="K557" s="26"/>
    </row>
    <row r="558">
      <c r="A558" s="26"/>
      <c r="C558" s="26"/>
      <c r="G558" s="26"/>
      <c r="K558" s="26"/>
    </row>
    <row r="559">
      <c r="A559" s="26"/>
      <c r="C559" s="26"/>
      <c r="G559" s="26"/>
      <c r="K559" s="26"/>
    </row>
    <row r="560">
      <c r="A560" s="26"/>
      <c r="C560" s="26"/>
      <c r="G560" s="26"/>
      <c r="K560" s="26"/>
    </row>
    <row r="561">
      <c r="A561" s="26"/>
      <c r="C561" s="26"/>
      <c r="G561" s="26"/>
      <c r="K561" s="26"/>
    </row>
    <row r="562">
      <c r="A562" s="26"/>
      <c r="C562" s="26"/>
      <c r="G562" s="26"/>
      <c r="K562" s="26"/>
    </row>
    <row r="563">
      <c r="A563" s="26"/>
      <c r="C563" s="26"/>
      <c r="G563" s="26"/>
      <c r="K563" s="26"/>
    </row>
    <row r="564">
      <c r="A564" s="26"/>
      <c r="C564" s="26"/>
      <c r="G564" s="26"/>
      <c r="K564" s="26"/>
    </row>
    <row r="565">
      <c r="A565" s="26"/>
      <c r="C565" s="26"/>
      <c r="G565" s="26"/>
      <c r="K565" s="26"/>
    </row>
    <row r="566">
      <c r="A566" s="26"/>
      <c r="C566" s="26"/>
      <c r="G566" s="26"/>
      <c r="K566" s="26"/>
    </row>
    <row r="567">
      <c r="A567" s="26"/>
      <c r="C567" s="26"/>
      <c r="G567" s="26"/>
      <c r="K567" s="26"/>
    </row>
    <row r="568">
      <c r="A568" s="26"/>
      <c r="C568" s="26"/>
      <c r="G568" s="26"/>
      <c r="K568" s="26"/>
    </row>
    <row r="569">
      <c r="A569" s="26"/>
      <c r="C569" s="26"/>
      <c r="G569" s="26"/>
      <c r="K569" s="26"/>
    </row>
    <row r="570">
      <c r="A570" s="26"/>
      <c r="C570" s="26"/>
      <c r="G570" s="26"/>
      <c r="K570" s="26"/>
    </row>
    <row r="571">
      <c r="A571" s="26"/>
      <c r="C571" s="26"/>
      <c r="G571" s="26"/>
      <c r="K571" s="26"/>
    </row>
    <row r="572">
      <c r="A572" s="26"/>
      <c r="C572" s="26"/>
      <c r="G572" s="26"/>
      <c r="K572" s="26"/>
    </row>
    <row r="573">
      <c r="A573" s="26"/>
      <c r="C573" s="26"/>
      <c r="G573" s="26"/>
      <c r="K573" s="26"/>
    </row>
    <row r="574">
      <c r="A574" s="26"/>
      <c r="C574" s="26"/>
      <c r="G574" s="26"/>
      <c r="K574" s="26"/>
    </row>
    <row r="575">
      <c r="A575" s="26"/>
      <c r="C575" s="26"/>
      <c r="G575" s="26"/>
      <c r="K575" s="26"/>
    </row>
    <row r="576">
      <c r="A576" s="26"/>
      <c r="C576" s="26"/>
      <c r="G576" s="26"/>
      <c r="K576" s="26"/>
    </row>
    <row r="577">
      <c r="A577" s="26"/>
      <c r="C577" s="26"/>
      <c r="G577" s="26"/>
      <c r="K577" s="26"/>
    </row>
    <row r="578">
      <c r="A578" s="26"/>
      <c r="C578" s="26"/>
      <c r="G578" s="26"/>
      <c r="K578" s="26"/>
    </row>
    <row r="579">
      <c r="A579" s="26"/>
      <c r="C579" s="26"/>
      <c r="G579" s="26"/>
      <c r="K579" s="26"/>
    </row>
    <row r="580">
      <c r="A580" s="26"/>
      <c r="C580" s="26"/>
      <c r="G580" s="26"/>
      <c r="K580" s="26"/>
    </row>
    <row r="581">
      <c r="A581" s="26"/>
      <c r="C581" s="26"/>
      <c r="G581" s="26"/>
      <c r="K581" s="26"/>
    </row>
    <row r="582">
      <c r="A582" s="26"/>
      <c r="C582" s="26"/>
      <c r="G582" s="26"/>
      <c r="K582" s="26"/>
    </row>
    <row r="583">
      <c r="A583" s="26"/>
      <c r="C583" s="26"/>
      <c r="G583" s="26"/>
      <c r="K583" s="26"/>
    </row>
    <row r="584">
      <c r="A584" s="26"/>
      <c r="C584" s="26"/>
      <c r="G584" s="26"/>
      <c r="K584" s="26"/>
    </row>
    <row r="585">
      <c r="A585" s="26"/>
      <c r="C585" s="26"/>
      <c r="G585" s="26"/>
      <c r="K585" s="26"/>
    </row>
    <row r="586">
      <c r="A586" s="26"/>
      <c r="C586" s="26"/>
      <c r="G586" s="26"/>
      <c r="K586" s="26"/>
    </row>
    <row r="587">
      <c r="A587" s="26"/>
      <c r="C587" s="26"/>
      <c r="G587" s="26"/>
      <c r="K587" s="26"/>
    </row>
    <row r="588">
      <c r="A588" s="26"/>
      <c r="C588" s="26"/>
      <c r="G588" s="26"/>
      <c r="K588" s="26"/>
    </row>
    <row r="589">
      <c r="A589" s="26"/>
      <c r="C589" s="26"/>
      <c r="G589" s="26"/>
      <c r="K589" s="26"/>
    </row>
    <row r="590">
      <c r="A590" s="26"/>
      <c r="C590" s="26"/>
      <c r="G590" s="26"/>
      <c r="K590" s="26"/>
    </row>
    <row r="591">
      <c r="A591" s="26"/>
      <c r="C591" s="26"/>
      <c r="G591" s="26"/>
      <c r="K591" s="26"/>
    </row>
    <row r="592">
      <c r="A592" s="26"/>
      <c r="C592" s="26"/>
      <c r="G592" s="26"/>
      <c r="K592" s="26"/>
    </row>
    <row r="593">
      <c r="A593" s="26"/>
      <c r="C593" s="26"/>
      <c r="G593" s="26"/>
      <c r="K593" s="26"/>
    </row>
    <row r="594">
      <c r="A594" s="26"/>
      <c r="C594" s="26"/>
      <c r="G594" s="26"/>
      <c r="K594" s="26"/>
    </row>
    <row r="595">
      <c r="A595" s="26"/>
      <c r="C595" s="26"/>
      <c r="G595" s="26"/>
      <c r="K595" s="26"/>
    </row>
    <row r="596">
      <c r="A596" s="26"/>
      <c r="C596" s="26"/>
      <c r="G596" s="26"/>
      <c r="K596" s="26"/>
    </row>
    <row r="597">
      <c r="A597" s="26"/>
      <c r="C597" s="26"/>
      <c r="G597" s="26"/>
      <c r="K597" s="26"/>
    </row>
    <row r="598">
      <c r="A598" s="26"/>
      <c r="C598" s="26"/>
      <c r="G598" s="26"/>
      <c r="K598" s="26"/>
    </row>
    <row r="599">
      <c r="A599" s="26"/>
      <c r="C599" s="26"/>
      <c r="G599" s="26"/>
      <c r="K599" s="26"/>
    </row>
    <row r="600">
      <c r="A600" s="26"/>
      <c r="C600" s="26"/>
      <c r="G600" s="26"/>
      <c r="K600" s="26"/>
    </row>
    <row r="601">
      <c r="A601" s="26"/>
      <c r="C601" s="26"/>
      <c r="G601" s="26"/>
      <c r="K601" s="26"/>
    </row>
    <row r="602">
      <c r="A602" s="26"/>
      <c r="C602" s="26"/>
      <c r="G602" s="26"/>
      <c r="K602" s="26"/>
    </row>
    <row r="603">
      <c r="A603" s="26"/>
      <c r="C603" s="26"/>
      <c r="G603" s="26"/>
      <c r="K603" s="26"/>
    </row>
    <row r="604">
      <c r="A604" s="26"/>
      <c r="C604" s="26"/>
      <c r="G604" s="26"/>
      <c r="K604" s="26"/>
    </row>
    <row r="605">
      <c r="A605" s="26"/>
      <c r="C605" s="26"/>
      <c r="G605" s="26"/>
      <c r="K605" s="26"/>
    </row>
    <row r="606">
      <c r="A606" s="26"/>
      <c r="C606" s="26"/>
      <c r="G606" s="26"/>
      <c r="K606" s="26"/>
    </row>
    <row r="607">
      <c r="A607" s="26"/>
      <c r="C607" s="26"/>
      <c r="G607" s="26"/>
      <c r="K607" s="26"/>
    </row>
    <row r="608">
      <c r="A608" s="26"/>
      <c r="C608" s="26"/>
      <c r="G608" s="26"/>
      <c r="K608" s="26"/>
    </row>
    <row r="609">
      <c r="A609" s="26"/>
      <c r="C609" s="26"/>
      <c r="G609" s="26"/>
      <c r="K609" s="26"/>
    </row>
    <row r="610">
      <c r="A610" s="26"/>
      <c r="C610" s="26"/>
      <c r="G610" s="26"/>
      <c r="K610" s="26"/>
    </row>
    <row r="611">
      <c r="A611" s="26"/>
      <c r="C611" s="26"/>
      <c r="G611" s="26"/>
      <c r="K611" s="26"/>
    </row>
    <row r="612">
      <c r="A612" s="26"/>
      <c r="C612" s="26"/>
      <c r="G612" s="26"/>
      <c r="K612" s="26"/>
    </row>
    <row r="613">
      <c r="A613" s="26"/>
      <c r="C613" s="26"/>
      <c r="G613" s="26"/>
      <c r="K613" s="26"/>
    </row>
    <row r="614">
      <c r="A614" s="26"/>
      <c r="C614" s="26"/>
      <c r="G614" s="26"/>
      <c r="K614" s="26"/>
    </row>
    <row r="615">
      <c r="A615" s="26"/>
      <c r="C615" s="26"/>
      <c r="G615" s="26"/>
      <c r="K615" s="26"/>
    </row>
    <row r="616">
      <c r="A616" s="26"/>
      <c r="C616" s="26"/>
      <c r="G616" s="26"/>
      <c r="K616" s="26"/>
    </row>
    <row r="617">
      <c r="A617" s="26"/>
      <c r="C617" s="26"/>
      <c r="G617" s="26"/>
      <c r="K617" s="26"/>
    </row>
    <row r="618">
      <c r="A618" s="26"/>
      <c r="C618" s="26"/>
      <c r="G618" s="26"/>
      <c r="K618" s="26"/>
    </row>
    <row r="619">
      <c r="A619" s="26"/>
      <c r="C619" s="26"/>
      <c r="G619" s="26"/>
      <c r="K619" s="26"/>
    </row>
    <row r="620">
      <c r="A620" s="26"/>
      <c r="C620" s="26"/>
      <c r="G620" s="26"/>
      <c r="K620" s="26"/>
    </row>
    <row r="621">
      <c r="A621" s="26"/>
      <c r="C621" s="26"/>
      <c r="G621" s="26"/>
      <c r="K621" s="26"/>
    </row>
    <row r="622">
      <c r="A622" s="26"/>
      <c r="C622" s="26"/>
      <c r="G622" s="26"/>
      <c r="K622" s="26"/>
    </row>
    <row r="623">
      <c r="A623" s="26"/>
      <c r="C623" s="26"/>
      <c r="G623" s="26"/>
      <c r="K623" s="26"/>
    </row>
    <row r="624">
      <c r="A624" s="26"/>
      <c r="C624" s="26"/>
      <c r="G624" s="26"/>
      <c r="K624" s="26"/>
    </row>
    <row r="625">
      <c r="A625" s="26"/>
      <c r="C625" s="26"/>
      <c r="G625" s="26"/>
      <c r="K625" s="26"/>
    </row>
    <row r="626">
      <c r="A626" s="26"/>
      <c r="C626" s="26"/>
      <c r="G626" s="26"/>
      <c r="K626" s="26"/>
    </row>
    <row r="627">
      <c r="A627" s="26"/>
      <c r="C627" s="26"/>
      <c r="G627" s="26"/>
      <c r="K627" s="26"/>
    </row>
    <row r="628">
      <c r="A628" s="26"/>
      <c r="C628" s="26"/>
      <c r="G628" s="26"/>
      <c r="K628" s="26"/>
    </row>
    <row r="629">
      <c r="A629" s="26"/>
      <c r="C629" s="26"/>
      <c r="G629" s="26"/>
      <c r="K629" s="26"/>
    </row>
    <row r="630">
      <c r="A630" s="26"/>
      <c r="C630" s="26"/>
      <c r="G630" s="26"/>
      <c r="K630" s="26"/>
    </row>
    <row r="631">
      <c r="A631" s="26"/>
      <c r="C631" s="26"/>
      <c r="G631" s="26"/>
      <c r="K631" s="26"/>
    </row>
    <row r="632">
      <c r="A632" s="26"/>
      <c r="C632" s="26"/>
      <c r="G632" s="26"/>
      <c r="K632" s="26"/>
    </row>
    <row r="633">
      <c r="A633" s="26"/>
      <c r="C633" s="26"/>
      <c r="G633" s="26"/>
      <c r="K633" s="26"/>
    </row>
    <row r="634">
      <c r="A634" s="26"/>
      <c r="C634" s="26"/>
      <c r="G634" s="26"/>
      <c r="K634" s="26"/>
    </row>
    <row r="635">
      <c r="A635" s="26"/>
      <c r="C635" s="26"/>
      <c r="G635" s="26"/>
      <c r="K635" s="26"/>
    </row>
    <row r="636">
      <c r="A636" s="26"/>
      <c r="C636" s="26"/>
      <c r="G636" s="26"/>
      <c r="K636" s="26"/>
    </row>
    <row r="637">
      <c r="A637" s="26"/>
      <c r="C637" s="26"/>
      <c r="G637" s="26"/>
      <c r="K637" s="26"/>
    </row>
    <row r="638">
      <c r="A638" s="26"/>
      <c r="C638" s="26"/>
      <c r="G638" s="26"/>
      <c r="K638" s="26"/>
    </row>
    <row r="639">
      <c r="A639" s="26"/>
      <c r="C639" s="26"/>
      <c r="G639" s="26"/>
      <c r="K639" s="26"/>
    </row>
    <row r="640">
      <c r="A640" s="26"/>
      <c r="C640" s="26"/>
      <c r="G640" s="26"/>
      <c r="K640" s="26"/>
    </row>
    <row r="641">
      <c r="A641" s="26"/>
      <c r="C641" s="26"/>
      <c r="G641" s="26"/>
      <c r="K641" s="26"/>
    </row>
    <row r="642">
      <c r="A642" s="26"/>
      <c r="C642" s="26"/>
      <c r="G642" s="26"/>
      <c r="K642" s="26"/>
    </row>
    <row r="643">
      <c r="A643" s="26"/>
      <c r="C643" s="26"/>
      <c r="G643" s="26"/>
      <c r="K643" s="26"/>
    </row>
    <row r="644">
      <c r="A644" s="26"/>
      <c r="C644" s="26"/>
      <c r="G644" s="26"/>
      <c r="K644" s="26"/>
    </row>
    <row r="645">
      <c r="A645" s="26"/>
      <c r="C645" s="26"/>
      <c r="G645" s="26"/>
      <c r="K645" s="26"/>
    </row>
    <row r="646">
      <c r="A646" s="26"/>
      <c r="C646" s="26"/>
      <c r="G646" s="26"/>
      <c r="K646" s="26"/>
    </row>
    <row r="647">
      <c r="A647" s="26"/>
      <c r="C647" s="26"/>
      <c r="G647" s="26"/>
      <c r="K647" s="26"/>
    </row>
    <row r="648">
      <c r="A648" s="26"/>
      <c r="C648" s="26"/>
      <c r="G648" s="26"/>
      <c r="K648" s="26"/>
    </row>
    <row r="649">
      <c r="A649" s="26"/>
      <c r="C649" s="26"/>
      <c r="G649" s="26"/>
      <c r="K649" s="26"/>
    </row>
    <row r="650">
      <c r="A650" s="26"/>
      <c r="C650" s="26"/>
      <c r="G650" s="26"/>
      <c r="K650" s="26"/>
    </row>
    <row r="651">
      <c r="A651" s="26"/>
      <c r="C651" s="26"/>
      <c r="G651" s="26"/>
      <c r="K651" s="26"/>
    </row>
    <row r="652">
      <c r="A652" s="26"/>
      <c r="C652" s="26"/>
      <c r="G652" s="26"/>
      <c r="K652" s="26"/>
    </row>
    <row r="653">
      <c r="A653" s="26"/>
      <c r="C653" s="26"/>
      <c r="G653" s="26"/>
      <c r="K653" s="26"/>
    </row>
    <row r="654">
      <c r="A654" s="26"/>
      <c r="C654" s="26"/>
      <c r="G654" s="26"/>
      <c r="K654" s="26"/>
    </row>
    <row r="655">
      <c r="A655" s="26"/>
      <c r="C655" s="26"/>
      <c r="G655" s="26"/>
      <c r="K655" s="26"/>
    </row>
    <row r="656">
      <c r="A656" s="26"/>
      <c r="C656" s="26"/>
      <c r="G656" s="26"/>
      <c r="K656" s="26"/>
    </row>
    <row r="657">
      <c r="A657" s="26"/>
      <c r="C657" s="26"/>
      <c r="G657" s="26"/>
      <c r="K657" s="26"/>
    </row>
    <row r="658">
      <c r="A658" s="26"/>
      <c r="C658" s="26"/>
      <c r="G658" s="26"/>
      <c r="K658" s="26"/>
    </row>
    <row r="659">
      <c r="A659" s="26"/>
      <c r="C659" s="26"/>
      <c r="G659" s="26"/>
      <c r="K659" s="26"/>
    </row>
    <row r="660">
      <c r="A660" s="26"/>
      <c r="C660" s="26"/>
      <c r="G660" s="26"/>
      <c r="K660" s="26"/>
    </row>
    <row r="661">
      <c r="A661" s="26"/>
      <c r="C661" s="26"/>
      <c r="G661" s="26"/>
      <c r="K661" s="26"/>
    </row>
    <row r="662">
      <c r="A662" s="26"/>
      <c r="C662" s="26"/>
      <c r="G662" s="26"/>
      <c r="K662" s="26"/>
    </row>
    <row r="663">
      <c r="A663" s="26"/>
      <c r="C663" s="26"/>
      <c r="G663" s="26"/>
      <c r="K663" s="26"/>
    </row>
    <row r="664">
      <c r="A664" s="26"/>
      <c r="C664" s="26"/>
      <c r="G664" s="26"/>
      <c r="K664" s="26"/>
    </row>
    <row r="665">
      <c r="A665" s="26"/>
      <c r="C665" s="26"/>
      <c r="G665" s="26"/>
      <c r="K665" s="26"/>
    </row>
    <row r="666">
      <c r="A666" s="26"/>
      <c r="C666" s="26"/>
      <c r="G666" s="26"/>
      <c r="K666" s="26"/>
    </row>
    <row r="667">
      <c r="A667" s="26"/>
      <c r="C667" s="26"/>
      <c r="G667" s="26"/>
      <c r="K667" s="26"/>
    </row>
    <row r="668">
      <c r="A668" s="26"/>
      <c r="C668" s="26"/>
      <c r="G668" s="26"/>
      <c r="K668" s="26"/>
    </row>
    <row r="669">
      <c r="A669" s="26"/>
      <c r="C669" s="26"/>
      <c r="G669" s="26"/>
      <c r="K669" s="26"/>
    </row>
    <row r="670">
      <c r="A670" s="26"/>
      <c r="C670" s="26"/>
      <c r="G670" s="26"/>
      <c r="K670" s="26"/>
    </row>
    <row r="671">
      <c r="A671" s="26"/>
      <c r="C671" s="26"/>
      <c r="G671" s="26"/>
      <c r="K671" s="26"/>
    </row>
    <row r="672">
      <c r="A672" s="26"/>
      <c r="C672" s="26"/>
      <c r="G672" s="26"/>
      <c r="K672" s="26"/>
    </row>
    <row r="673">
      <c r="A673" s="26"/>
      <c r="C673" s="26"/>
      <c r="G673" s="26"/>
      <c r="K673" s="26"/>
    </row>
    <row r="674">
      <c r="A674" s="26"/>
      <c r="C674" s="26"/>
      <c r="G674" s="26"/>
      <c r="K674" s="26"/>
    </row>
    <row r="675">
      <c r="A675" s="26"/>
      <c r="C675" s="26"/>
      <c r="G675" s="26"/>
      <c r="K675" s="26"/>
    </row>
    <row r="676">
      <c r="A676" s="26"/>
      <c r="C676" s="26"/>
      <c r="G676" s="26"/>
      <c r="K676" s="26"/>
    </row>
    <row r="677">
      <c r="A677" s="26"/>
      <c r="C677" s="26"/>
      <c r="G677" s="26"/>
      <c r="K677" s="26"/>
    </row>
    <row r="678">
      <c r="A678" s="26"/>
      <c r="C678" s="26"/>
      <c r="G678" s="26"/>
      <c r="K678" s="26"/>
    </row>
    <row r="679">
      <c r="A679" s="26"/>
      <c r="C679" s="26"/>
      <c r="G679" s="26"/>
      <c r="K679" s="26"/>
    </row>
    <row r="680">
      <c r="A680" s="26"/>
      <c r="C680" s="26"/>
      <c r="G680" s="26"/>
      <c r="K680" s="26"/>
    </row>
    <row r="681">
      <c r="A681" s="26"/>
      <c r="C681" s="26"/>
      <c r="G681" s="26"/>
      <c r="K681" s="26"/>
    </row>
    <row r="682">
      <c r="A682" s="26"/>
      <c r="C682" s="26"/>
      <c r="G682" s="26"/>
      <c r="K682" s="26"/>
    </row>
    <row r="683">
      <c r="A683" s="26"/>
      <c r="C683" s="26"/>
      <c r="G683" s="26"/>
      <c r="K683" s="26"/>
    </row>
    <row r="684">
      <c r="A684" s="26"/>
      <c r="C684" s="26"/>
      <c r="G684" s="26"/>
      <c r="K684" s="26"/>
    </row>
    <row r="685">
      <c r="A685" s="26"/>
      <c r="C685" s="26"/>
      <c r="G685" s="26"/>
      <c r="K685" s="26"/>
    </row>
    <row r="686">
      <c r="A686" s="26"/>
      <c r="C686" s="26"/>
      <c r="G686" s="26"/>
      <c r="K686" s="26"/>
    </row>
    <row r="687">
      <c r="A687" s="26"/>
      <c r="C687" s="26"/>
      <c r="G687" s="26"/>
      <c r="K687" s="26"/>
    </row>
    <row r="688">
      <c r="A688" s="26"/>
      <c r="C688" s="26"/>
      <c r="G688" s="26"/>
      <c r="K688" s="26"/>
    </row>
    <row r="689">
      <c r="A689" s="26"/>
      <c r="C689" s="26"/>
      <c r="G689" s="26"/>
      <c r="K689" s="26"/>
    </row>
    <row r="690">
      <c r="A690" s="26"/>
      <c r="C690" s="26"/>
      <c r="G690" s="26"/>
      <c r="K690" s="26"/>
    </row>
    <row r="691">
      <c r="A691" s="26"/>
      <c r="C691" s="26"/>
      <c r="G691" s="26"/>
      <c r="K691" s="26"/>
    </row>
    <row r="692">
      <c r="A692" s="26"/>
      <c r="C692" s="26"/>
      <c r="G692" s="26"/>
      <c r="K692" s="26"/>
    </row>
    <row r="693">
      <c r="A693" s="26"/>
      <c r="C693" s="26"/>
      <c r="G693" s="26"/>
      <c r="K693" s="26"/>
    </row>
    <row r="694">
      <c r="A694" s="26"/>
      <c r="C694" s="26"/>
      <c r="G694" s="26"/>
      <c r="K694" s="26"/>
    </row>
    <row r="695">
      <c r="A695" s="26"/>
      <c r="C695" s="26"/>
      <c r="G695" s="26"/>
      <c r="K695" s="26"/>
    </row>
    <row r="696">
      <c r="A696" s="26"/>
      <c r="C696" s="26"/>
      <c r="G696" s="26"/>
      <c r="K696" s="26"/>
    </row>
    <row r="697">
      <c r="A697" s="26"/>
      <c r="C697" s="26"/>
      <c r="G697" s="26"/>
      <c r="K697" s="26"/>
    </row>
    <row r="698">
      <c r="A698" s="26"/>
      <c r="C698" s="26"/>
      <c r="G698" s="26"/>
      <c r="K698" s="26"/>
    </row>
    <row r="699">
      <c r="A699" s="26"/>
      <c r="C699" s="26"/>
      <c r="G699" s="26"/>
      <c r="K699" s="26"/>
    </row>
    <row r="700">
      <c r="A700" s="26"/>
      <c r="C700" s="26"/>
      <c r="G700" s="26"/>
      <c r="K700" s="26"/>
    </row>
    <row r="701">
      <c r="A701" s="26"/>
      <c r="C701" s="26"/>
      <c r="G701" s="26"/>
      <c r="K701" s="26"/>
    </row>
    <row r="702">
      <c r="A702" s="26"/>
      <c r="C702" s="26"/>
      <c r="G702" s="26"/>
      <c r="K702" s="26"/>
    </row>
    <row r="703">
      <c r="A703" s="26"/>
      <c r="C703" s="26"/>
      <c r="G703" s="26"/>
      <c r="K703" s="26"/>
    </row>
    <row r="704">
      <c r="A704" s="26"/>
      <c r="C704" s="26"/>
      <c r="G704" s="26"/>
      <c r="K704" s="26"/>
    </row>
    <row r="705">
      <c r="A705" s="26"/>
      <c r="C705" s="26"/>
      <c r="G705" s="26"/>
      <c r="K705" s="26"/>
    </row>
    <row r="706">
      <c r="A706" s="26"/>
      <c r="C706" s="26"/>
      <c r="G706" s="26"/>
      <c r="K706" s="26"/>
    </row>
    <row r="707">
      <c r="A707" s="26"/>
      <c r="C707" s="26"/>
      <c r="G707" s="26"/>
      <c r="K707" s="26"/>
    </row>
    <row r="708">
      <c r="A708" s="26"/>
      <c r="C708" s="26"/>
      <c r="G708" s="26"/>
      <c r="K708" s="26"/>
    </row>
    <row r="709">
      <c r="A709" s="26"/>
      <c r="C709" s="26"/>
      <c r="G709" s="26"/>
      <c r="K709" s="26"/>
    </row>
    <row r="710">
      <c r="A710" s="26"/>
      <c r="C710" s="26"/>
      <c r="G710" s="26"/>
      <c r="K710" s="26"/>
    </row>
    <row r="711">
      <c r="A711" s="26"/>
      <c r="C711" s="26"/>
      <c r="G711" s="26"/>
      <c r="K711" s="26"/>
    </row>
    <row r="712">
      <c r="A712" s="26"/>
      <c r="C712" s="26"/>
      <c r="G712" s="26"/>
      <c r="K712" s="26"/>
    </row>
    <row r="713">
      <c r="A713" s="26"/>
      <c r="C713" s="26"/>
      <c r="G713" s="26"/>
      <c r="K713" s="26"/>
    </row>
    <row r="714">
      <c r="A714" s="26"/>
      <c r="C714" s="26"/>
      <c r="G714" s="26"/>
      <c r="K714" s="26"/>
    </row>
    <row r="715">
      <c r="A715" s="26"/>
      <c r="C715" s="26"/>
      <c r="G715" s="26"/>
      <c r="K715" s="26"/>
    </row>
    <row r="716">
      <c r="A716" s="26"/>
      <c r="C716" s="26"/>
      <c r="G716" s="26"/>
      <c r="K716" s="26"/>
    </row>
    <row r="717">
      <c r="A717" s="26"/>
      <c r="C717" s="26"/>
      <c r="G717" s="26"/>
      <c r="K717" s="26"/>
    </row>
    <row r="718">
      <c r="A718" s="26"/>
      <c r="C718" s="26"/>
      <c r="G718" s="26"/>
      <c r="K718" s="26"/>
    </row>
    <row r="719">
      <c r="A719" s="26"/>
      <c r="C719" s="26"/>
      <c r="G719" s="26"/>
      <c r="K719" s="26"/>
    </row>
    <row r="720">
      <c r="A720" s="26"/>
      <c r="C720" s="26"/>
      <c r="G720" s="26"/>
      <c r="K720" s="26"/>
    </row>
    <row r="721">
      <c r="A721" s="26"/>
      <c r="C721" s="26"/>
      <c r="G721" s="26"/>
      <c r="K721" s="26"/>
    </row>
    <row r="722">
      <c r="A722" s="26"/>
      <c r="C722" s="26"/>
      <c r="G722" s="26"/>
      <c r="K722" s="26"/>
    </row>
    <row r="723">
      <c r="A723" s="26"/>
      <c r="C723" s="26"/>
      <c r="G723" s="26"/>
      <c r="K723" s="26"/>
    </row>
    <row r="724">
      <c r="A724" s="26"/>
      <c r="C724" s="26"/>
      <c r="G724" s="26"/>
      <c r="K724" s="26"/>
    </row>
    <row r="725">
      <c r="A725" s="26"/>
      <c r="C725" s="26"/>
      <c r="G725" s="26"/>
      <c r="K725" s="26"/>
    </row>
    <row r="726">
      <c r="A726" s="26"/>
      <c r="C726" s="26"/>
      <c r="G726" s="26"/>
      <c r="K726" s="26"/>
    </row>
    <row r="727">
      <c r="A727" s="26"/>
      <c r="C727" s="26"/>
      <c r="G727" s="26"/>
      <c r="K727" s="26"/>
    </row>
    <row r="728">
      <c r="A728" s="26"/>
      <c r="C728" s="26"/>
      <c r="G728" s="26"/>
      <c r="K728" s="26"/>
    </row>
    <row r="729">
      <c r="A729" s="26"/>
      <c r="C729" s="26"/>
      <c r="G729" s="26"/>
      <c r="K729" s="26"/>
    </row>
    <row r="730">
      <c r="A730" s="26"/>
      <c r="C730" s="26"/>
      <c r="G730" s="26"/>
      <c r="K730" s="26"/>
    </row>
    <row r="731">
      <c r="A731" s="26"/>
      <c r="C731" s="26"/>
      <c r="G731" s="26"/>
      <c r="K731" s="26"/>
    </row>
    <row r="732">
      <c r="A732" s="26"/>
      <c r="C732" s="26"/>
      <c r="G732" s="26"/>
      <c r="K732" s="26"/>
    </row>
    <row r="733">
      <c r="A733" s="26"/>
      <c r="C733" s="26"/>
      <c r="G733" s="26"/>
      <c r="K733" s="26"/>
    </row>
    <row r="734">
      <c r="A734" s="26"/>
      <c r="C734" s="26"/>
      <c r="G734" s="26"/>
      <c r="K734" s="26"/>
    </row>
    <row r="735">
      <c r="A735" s="26"/>
      <c r="C735" s="26"/>
      <c r="G735" s="26"/>
      <c r="K735" s="26"/>
    </row>
    <row r="736">
      <c r="A736" s="26"/>
      <c r="C736" s="26"/>
      <c r="G736" s="26"/>
      <c r="K736" s="26"/>
    </row>
    <row r="737">
      <c r="A737" s="26"/>
      <c r="C737" s="26"/>
      <c r="G737" s="26"/>
      <c r="K737" s="26"/>
    </row>
    <row r="738">
      <c r="A738" s="26"/>
      <c r="C738" s="26"/>
      <c r="G738" s="26"/>
      <c r="K738" s="26"/>
    </row>
    <row r="739">
      <c r="A739" s="26"/>
      <c r="C739" s="26"/>
      <c r="G739" s="26"/>
      <c r="K739" s="26"/>
    </row>
    <row r="740">
      <c r="A740" s="26"/>
      <c r="C740" s="26"/>
      <c r="G740" s="26"/>
      <c r="K740" s="26"/>
    </row>
    <row r="741">
      <c r="A741" s="26"/>
      <c r="C741" s="26"/>
      <c r="G741" s="26"/>
      <c r="K741" s="26"/>
    </row>
    <row r="742">
      <c r="A742" s="26"/>
      <c r="C742" s="26"/>
      <c r="G742" s="26"/>
      <c r="K742" s="26"/>
    </row>
    <row r="743">
      <c r="A743" s="26"/>
      <c r="C743" s="26"/>
      <c r="G743" s="26"/>
      <c r="K743" s="26"/>
    </row>
    <row r="744">
      <c r="A744" s="26"/>
      <c r="C744" s="26"/>
      <c r="G744" s="26"/>
      <c r="K744" s="26"/>
    </row>
    <row r="745">
      <c r="A745" s="26"/>
      <c r="C745" s="26"/>
      <c r="G745" s="26"/>
      <c r="K745" s="26"/>
    </row>
    <row r="746">
      <c r="A746" s="26"/>
      <c r="C746" s="26"/>
      <c r="G746" s="26"/>
      <c r="K746" s="26"/>
    </row>
    <row r="747">
      <c r="A747" s="26"/>
      <c r="C747" s="26"/>
      <c r="G747" s="26"/>
      <c r="K747" s="26"/>
    </row>
    <row r="748">
      <c r="A748" s="26"/>
      <c r="C748" s="26"/>
      <c r="G748" s="26"/>
      <c r="K748" s="26"/>
    </row>
    <row r="749">
      <c r="A749" s="26"/>
      <c r="C749" s="26"/>
      <c r="G749" s="26"/>
      <c r="K749" s="26"/>
    </row>
    <row r="750">
      <c r="A750" s="26"/>
      <c r="C750" s="26"/>
      <c r="G750" s="26"/>
      <c r="K750" s="26"/>
    </row>
    <row r="751">
      <c r="A751" s="26"/>
      <c r="C751" s="26"/>
      <c r="G751" s="26"/>
      <c r="K751" s="26"/>
    </row>
    <row r="752">
      <c r="A752" s="26"/>
      <c r="C752" s="26"/>
      <c r="G752" s="26"/>
      <c r="K752" s="26"/>
    </row>
    <row r="753">
      <c r="A753" s="26"/>
      <c r="C753" s="26"/>
      <c r="G753" s="26"/>
      <c r="K753" s="26"/>
    </row>
    <row r="754">
      <c r="A754" s="26"/>
      <c r="C754" s="26"/>
      <c r="G754" s="26"/>
      <c r="K754" s="26"/>
    </row>
    <row r="755">
      <c r="A755" s="26"/>
      <c r="C755" s="26"/>
      <c r="G755" s="26"/>
      <c r="K755" s="26"/>
    </row>
    <row r="756">
      <c r="A756" s="26"/>
      <c r="C756" s="26"/>
      <c r="G756" s="26"/>
      <c r="K756" s="26"/>
    </row>
    <row r="757">
      <c r="A757" s="26"/>
      <c r="C757" s="26"/>
      <c r="G757" s="26"/>
      <c r="K757" s="26"/>
    </row>
    <row r="758">
      <c r="A758" s="26"/>
      <c r="C758" s="26"/>
      <c r="G758" s="26"/>
      <c r="K758" s="26"/>
    </row>
    <row r="759">
      <c r="A759" s="26"/>
      <c r="C759" s="26"/>
      <c r="G759" s="26"/>
      <c r="K759" s="26"/>
    </row>
    <row r="760">
      <c r="A760" s="26"/>
      <c r="C760" s="26"/>
      <c r="G760" s="26"/>
      <c r="K760" s="26"/>
    </row>
    <row r="761">
      <c r="A761" s="26"/>
      <c r="C761" s="26"/>
      <c r="G761" s="26"/>
      <c r="K761" s="26"/>
    </row>
    <row r="762">
      <c r="A762" s="26"/>
      <c r="C762" s="26"/>
      <c r="G762" s="26"/>
      <c r="K762" s="26"/>
    </row>
    <row r="763">
      <c r="A763" s="26"/>
      <c r="C763" s="26"/>
      <c r="G763" s="26"/>
      <c r="K763" s="26"/>
    </row>
    <row r="764">
      <c r="A764" s="26"/>
      <c r="C764" s="26"/>
      <c r="G764" s="26"/>
      <c r="K764" s="26"/>
    </row>
    <row r="765">
      <c r="A765" s="26"/>
      <c r="C765" s="26"/>
      <c r="G765" s="26"/>
      <c r="K765" s="26"/>
    </row>
    <row r="766">
      <c r="A766" s="26"/>
      <c r="C766" s="26"/>
      <c r="G766" s="26"/>
      <c r="K766" s="26"/>
    </row>
    <row r="767">
      <c r="A767" s="26"/>
      <c r="C767" s="26"/>
      <c r="G767" s="26"/>
      <c r="K767" s="26"/>
    </row>
    <row r="768">
      <c r="A768" s="26"/>
      <c r="C768" s="26"/>
      <c r="G768" s="26"/>
      <c r="K768" s="26"/>
    </row>
    <row r="769">
      <c r="A769" s="26"/>
      <c r="C769" s="26"/>
      <c r="G769" s="26"/>
      <c r="K769" s="26"/>
    </row>
    <row r="770">
      <c r="A770" s="26"/>
      <c r="C770" s="26"/>
      <c r="G770" s="26"/>
      <c r="K770" s="26"/>
    </row>
    <row r="771">
      <c r="A771" s="26"/>
      <c r="C771" s="26"/>
      <c r="G771" s="26"/>
      <c r="K771" s="26"/>
    </row>
    <row r="772">
      <c r="A772" s="26"/>
      <c r="C772" s="26"/>
      <c r="G772" s="26"/>
      <c r="K772" s="26"/>
    </row>
    <row r="773">
      <c r="A773" s="26"/>
      <c r="C773" s="26"/>
      <c r="G773" s="26"/>
      <c r="K773" s="26"/>
    </row>
    <row r="774">
      <c r="A774" s="26"/>
      <c r="C774" s="26"/>
      <c r="G774" s="26"/>
      <c r="K774" s="26"/>
    </row>
    <row r="775">
      <c r="A775" s="26"/>
      <c r="C775" s="26"/>
      <c r="G775" s="26"/>
      <c r="K775" s="26"/>
    </row>
    <row r="776">
      <c r="A776" s="26"/>
      <c r="C776" s="26"/>
      <c r="G776" s="26"/>
      <c r="K776" s="26"/>
    </row>
    <row r="777">
      <c r="A777" s="26"/>
      <c r="C777" s="26"/>
      <c r="G777" s="26"/>
      <c r="K777" s="26"/>
    </row>
    <row r="778">
      <c r="A778" s="26"/>
      <c r="C778" s="26"/>
      <c r="G778" s="26"/>
      <c r="K778" s="26"/>
    </row>
    <row r="779">
      <c r="A779" s="26"/>
      <c r="C779" s="26"/>
      <c r="G779" s="26"/>
      <c r="K779" s="26"/>
    </row>
    <row r="780">
      <c r="A780" s="26"/>
      <c r="C780" s="26"/>
      <c r="G780" s="26"/>
      <c r="K780" s="26"/>
    </row>
    <row r="781">
      <c r="A781" s="26"/>
      <c r="C781" s="26"/>
      <c r="G781" s="26"/>
      <c r="K781" s="26"/>
    </row>
    <row r="782">
      <c r="A782" s="26"/>
      <c r="C782" s="26"/>
      <c r="G782" s="26"/>
      <c r="K782" s="26"/>
    </row>
    <row r="783">
      <c r="A783" s="26"/>
      <c r="C783" s="26"/>
      <c r="G783" s="26"/>
      <c r="K783" s="26"/>
    </row>
    <row r="784">
      <c r="A784" s="26"/>
      <c r="C784" s="26"/>
      <c r="G784" s="26"/>
      <c r="K784" s="26"/>
    </row>
    <row r="785">
      <c r="A785" s="26"/>
      <c r="C785" s="26"/>
      <c r="G785" s="26"/>
      <c r="K785" s="26"/>
    </row>
    <row r="786">
      <c r="A786" s="26"/>
      <c r="C786" s="26"/>
      <c r="G786" s="26"/>
      <c r="K786" s="26"/>
    </row>
    <row r="787">
      <c r="A787" s="26"/>
      <c r="C787" s="26"/>
      <c r="G787" s="26"/>
      <c r="K787" s="26"/>
    </row>
    <row r="788">
      <c r="A788" s="26"/>
      <c r="C788" s="26"/>
      <c r="G788" s="26"/>
      <c r="K788" s="26"/>
    </row>
    <row r="789">
      <c r="A789" s="26"/>
      <c r="C789" s="26"/>
      <c r="G789" s="26"/>
      <c r="K789" s="26"/>
    </row>
    <row r="790">
      <c r="A790" s="26"/>
      <c r="C790" s="26"/>
      <c r="G790" s="26"/>
      <c r="K790" s="26"/>
    </row>
    <row r="791">
      <c r="A791" s="26"/>
      <c r="C791" s="26"/>
      <c r="G791" s="26"/>
      <c r="K791" s="26"/>
    </row>
    <row r="792">
      <c r="A792" s="26"/>
      <c r="C792" s="26"/>
      <c r="G792" s="26"/>
      <c r="K792" s="26"/>
    </row>
    <row r="793">
      <c r="A793" s="26"/>
      <c r="C793" s="26"/>
      <c r="G793" s="26"/>
      <c r="K793" s="26"/>
    </row>
    <row r="794">
      <c r="A794" s="26"/>
      <c r="C794" s="26"/>
      <c r="G794" s="26"/>
      <c r="K794" s="26"/>
    </row>
    <row r="795">
      <c r="A795" s="26"/>
      <c r="C795" s="26"/>
      <c r="G795" s="26"/>
      <c r="K795" s="26"/>
    </row>
    <row r="796">
      <c r="A796" s="26"/>
      <c r="C796" s="26"/>
      <c r="G796" s="26"/>
      <c r="K796" s="26"/>
    </row>
    <row r="797">
      <c r="A797" s="26"/>
      <c r="C797" s="26"/>
      <c r="G797" s="26"/>
      <c r="K797" s="26"/>
    </row>
    <row r="798">
      <c r="A798" s="26"/>
      <c r="C798" s="26"/>
      <c r="G798" s="26"/>
      <c r="K798" s="26"/>
    </row>
    <row r="799">
      <c r="A799" s="26"/>
      <c r="C799" s="26"/>
      <c r="G799" s="26"/>
      <c r="K799" s="26"/>
    </row>
    <row r="800">
      <c r="A800" s="26"/>
      <c r="C800" s="26"/>
      <c r="G800" s="26"/>
      <c r="K800" s="26"/>
    </row>
    <row r="801">
      <c r="A801" s="26"/>
      <c r="C801" s="26"/>
      <c r="G801" s="26"/>
      <c r="K801" s="26"/>
    </row>
    <row r="802">
      <c r="A802" s="26"/>
      <c r="C802" s="26"/>
      <c r="G802" s="26"/>
      <c r="K802" s="26"/>
    </row>
    <row r="803">
      <c r="A803" s="26"/>
      <c r="C803" s="26"/>
      <c r="G803" s="26"/>
      <c r="K803" s="26"/>
    </row>
    <row r="804">
      <c r="A804" s="26"/>
      <c r="C804" s="26"/>
      <c r="G804" s="26"/>
      <c r="K804" s="26"/>
    </row>
    <row r="805">
      <c r="A805" s="26"/>
      <c r="C805" s="26"/>
      <c r="G805" s="26"/>
      <c r="K805" s="26"/>
    </row>
    <row r="806">
      <c r="A806" s="26"/>
      <c r="C806" s="26"/>
      <c r="G806" s="26"/>
      <c r="K806" s="26"/>
    </row>
    <row r="807">
      <c r="A807" s="26"/>
      <c r="C807" s="26"/>
      <c r="G807" s="26"/>
      <c r="K807" s="26"/>
    </row>
    <row r="808">
      <c r="A808" s="26"/>
      <c r="C808" s="26"/>
      <c r="G808" s="26"/>
      <c r="K808" s="26"/>
    </row>
    <row r="809">
      <c r="A809" s="26"/>
      <c r="C809" s="26"/>
      <c r="G809" s="26"/>
      <c r="K809" s="26"/>
    </row>
    <row r="810">
      <c r="A810" s="26"/>
      <c r="C810" s="26"/>
      <c r="G810" s="26"/>
      <c r="K810" s="26"/>
    </row>
    <row r="811">
      <c r="A811" s="26"/>
      <c r="C811" s="26"/>
      <c r="G811" s="26"/>
      <c r="K811" s="26"/>
    </row>
    <row r="812">
      <c r="A812" s="26"/>
      <c r="C812" s="26"/>
      <c r="G812" s="26"/>
      <c r="K812" s="26"/>
    </row>
    <row r="813">
      <c r="A813" s="26"/>
      <c r="C813" s="26"/>
      <c r="G813" s="26"/>
      <c r="K813" s="26"/>
    </row>
    <row r="814">
      <c r="A814" s="26"/>
      <c r="C814" s="26"/>
      <c r="G814" s="26"/>
      <c r="K814" s="26"/>
    </row>
    <row r="815">
      <c r="A815" s="26"/>
      <c r="C815" s="26"/>
      <c r="G815" s="26"/>
      <c r="K815" s="26"/>
    </row>
    <row r="816">
      <c r="A816" s="26"/>
      <c r="C816" s="26"/>
      <c r="G816" s="26"/>
      <c r="K816" s="26"/>
    </row>
    <row r="817">
      <c r="A817" s="26"/>
      <c r="C817" s="26"/>
      <c r="G817" s="26"/>
      <c r="K817" s="26"/>
    </row>
    <row r="818">
      <c r="A818" s="26"/>
      <c r="C818" s="26"/>
      <c r="G818" s="26"/>
      <c r="K818" s="26"/>
    </row>
    <row r="819">
      <c r="A819" s="26"/>
      <c r="C819" s="26"/>
      <c r="G819" s="26"/>
      <c r="K819" s="26"/>
    </row>
    <row r="820">
      <c r="A820" s="26"/>
      <c r="C820" s="26"/>
      <c r="G820" s="26"/>
      <c r="K820" s="26"/>
    </row>
    <row r="821">
      <c r="A821" s="26"/>
      <c r="C821" s="26"/>
      <c r="G821" s="26"/>
      <c r="K821" s="26"/>
    </row>
    <row r="822">
      <c r="A822" s="26"/>
      <c r="C822" s="26"/>
      <c r="G822" s="26"/>
      <c r="K822" s="26"/>
    </row>
    <row r="823">
      <c r="A823" s="26"/>
      <c r="C823" s="26"/>
      <c r="G823" s="26"/>
      <c r="K823" s="26"/>
    </row>
    <row r="824">
      <c r="A824" s="26"/>
      <c r="C824" s="26"/>
      <c r="G824" s="26"/>
      <c r="K824" s="26"/>
    </row>
    <row r="825">
      <c r="A825" s="26"/>
      <c r="C825" s="26"/>
      <c r="G825" s="26"/>
      <c r="K825" s="26"/>
    </row>
    <row r="826">
      <c r="A826" s="26"/>
      <c r="C826" s="26"/>
      <c r="G826" s="26"/>
      <c r="K826" s="26"/>
    </row>
    <row r="827">
      <c r="A827" s="26"/>
      <c r="C827" s="26"/>
      <c r="G827" s="26"/>
      <c r="K827" s="26"/>
    </row>
    <row r="828">
      <c r="A828" s="26"/>
      <c r="C828" s="26"/>
      <c r="G828" s="26"/>
      <c r="K828" s="26"/>
    </row>
    <row r="829">
      <c r="A829" s="26"/>
      <c r="C829" s="26"/>
      <c r="G829" s="26"/>
      <c r="K829" s="26"/>
    </row>
    <row r="830">
      <c r="A830" s="26"/>
      <c r="C830" s="26"/>
      <c r="G830" s="26"/>
      <c r="K830" s="26"/>
    </row>
    <row r="831">
      <c r="A831" s="26"/>
      <c r="C831" s="26"/>
      <c r="G831" s="26"/>
      <c r="K831" s="26"/>
    </row>
    <row r="832">
      <c r="A832" s="26"/>
      <c r="C832" s="26"/>
      <c r="G832" s="26"/>
      <c r="K832" s="26"/>
    </row>
    <row r="833">
      <c r="A833" s="26"/>
      <c r="C833" s="26"/>
      <c r="G833" s="26"/>
      <c r="K833" s="26"/>
    </row>
    <row r="834">
      <c r="A834" s="26"/>
      <c r="C834" s="26"/>
      <c r="G834" s="26"/>
      <c r="K834" s="26"/>
    </row>
    <row r="835">
      <c r="A835" s="26"/>
      <c r="C835" s="26"/>
      <c r="G835" s="26"/>
      <c r="K835" s="26"/>
    </row>
    <row r="836">
      <c r="A836" s="26"/>
      <c r="C836" s="26"/>
      <c r="G836" s="26"/>
      <c r="K836" s="26"/>
    </row>
    <row r="837">
      <c r="A837" s="26"/>
      <c r="C837" s="26"/>
      <c r="G837" s="26"/>
      <c r="K837" s="26"/>
    </row>
    <row r="838">
      <c r="A838" s="26"/>
      <c r="C838" s="26"/>
      <c r="G838" s="26"/>
      <c r="K838" s="26"/>
    </row>
    <row r="839">
      <c r="A839" s="26"/>
      <c r="C839" s="26"/>
      <c r="G839" s="26"/>
      <c r="K839" s="26"/>
    </row>
    <row r="840">
      <c r="A840" s="26"/>
      <c r="C840" s="26"/>
      <c r="G840" s="26"/>
      <c r="K840" s="26"/>
    </row>
    <row r="841">
      <c r="A841" s="26"/>
      <c r="C841" s="26"/>
      <c r="G841" s="26"/>
      <c r="K841" s="26"/>
    </row>
    <row r="842">
      <c r="A842" s="26"/>
      <c r="C842" s="26"/>
      <c r="G842" s="26"/>
      <c r="K842" s="26"/>
    </row>
    <row r="843">
      <c r="A843" s="26"/>
      <c r="C843" s="26"/>
      <c r="G843" s="26"/>
      <c r="K843" s="26"/>
    </row>
    <row r="844">
      <c r="A844" s="26"/>
      <c r="C844" s="26"/>
      <c r="G844" s="26"/>
      <c r="K844" s="26"/>
    </row>
    <row r="845">
      <c r="A845" s="26"/>
      <c r="C845" s="26"/>
      <c r="G845" s="26"/>
      <c r="K845" s="26"/>
    </row>
    <row r="846">
      <c r="A846" s="26"/>
      <c r="C846" s="26"/>
      <c r="G846" s="26"/>
      <c r="K846" s="26"/>
    </row>
    <row r="847">
      <c r="A847" s="26"/>
      <c r="C847" s="26"/>
      <c r="G847" s="26"/>
      <c r="K847" s="26"/>
    </row>
    <row r="848">
      <c r="A848" s="26"/>
      <c r="C848" s="26"/>
      <c r="G848" s="26"/>
      <c r="K848" s="26"/>
    </row>
    <row r="849">
      <c r="A849" s="26"/>
      <c r="C849" s="26"/>
      <c r="G849" s="26"/>
      <c r="K849" s="26"/>
    </row>
    <row r="850">
      <c r="A850" s="26"/>
      <c r="C850" s="26"/>
      <c r="G850" s="26"/>
      <c r="K850" s="26"/>
    </row>
    <row r="851">
      <c r="A851" s="26"/>
      <c r="C851" s="26"/>
      <c r="G851" s="26"/>
      <c r="K851" s="26"/>
    </row>
    <row r="852">
      <c r="A852" s="26"/>
      <c r="C852" s="26"/>
      <c r="G852" s="26"/>
      <c r="K852" s="26"/>
    </row>
    <row r="853">
      <c r="A853" s="26"/>
      <c r="C853" s="26"/>
      <c r="G853" s="26"/>
      <c r="K853" s="26"/>
    </row>
    <row r="854">
      <c r="A854" s="26"/>
      <c r="C854" s="26"/>
      <c r="G854" s="26"/>
      <c r="K854" s="26"/>
    </row>
    <row r="855">
      <c r="A855" s="26"/>
      <c r="C855" s="26"/>
      <c r="G855" s="26"/>
      <c r="K855" s="26"/>
    </row>
    <row r="856">
      <c r="A856" s="26"/>
      <c r="C856" s="26"/>
      <c r="G856" s="26"/>
      <c r="K856" s="26"/>
    </row>
    <row r="857">
      <c r="A857" s="26"/>
      <c r="C857" s="26"/>
      <c r="G857" s="26"/>
      <c r="K857" s="26"/>
    </row>
    <row r="858">
      <c r="A858" s="26"/>
      <c r="C858" s="26"/>
      <c r="G858" s="26"/>
      <c r="K858" s="26"/>
    </row>
    <row r="859">
      <c r="A859" s="26"/>
      <c r="C859" s="26"/>
      <c r="G859" s="26"/>
      <c r="K859" s="26"/>
    </row>
    <row r="860">
      <c r="A860" s="26"/>
      <c r="C860" s="26"/>
      <c r="G860" s="26"/>
      <c r="K860" s="26"/>
    </row>
    <row r="861">
      <c r="A861" s="26"/>
      <c r="C861" s="26"/>
      <c r="G861" s="26"/>
      <c r="K861" s="26"/>
    </row>
    <row r="862">
      <c r="A862" s="26"/>
      <c r="C862" s="26"/>
      <c r="G862" s="26"/>
      <c r="K862" s="26"/>
    </row>
    <row r="863">
      <c r="A863" s="26"/>
      <c r="C863" s="26"/>
      <c r="G863" s="26"/>
      <c r="K863" s="26"/>
    </row>
    <row r="864">
      <c r="A864" s="26"/>
      <c r="C864" s="26"/>
      <c r="G864" s="26"/>
      <c r="K864" s="26"/>
    </row>
    <row r="865">
      <c r="A865" s="26"/>
      <c r="C865" s="26"/>
      <c r="G865" s="26"/>
      <c r="K865" s="26"/>
    </row>
    <row r="866">
      <c r="A866" s="26"/>
      <c r="C866" s="26"/>
      <c r="G866" s="26"/>
      <c r="K866" s="26"/>
    </row>
    <row r="867">
      <c r="A867" s="26"/>
      <c r="C867" s="26"/>
      <c r="G867" s="26"/>
      <c r="K867" s="26"/>
    </row>
    <row r="868">
      <c r="A868" s="26"/>
      <c r="C868" s="26"/>
      <c r="G868" s="26"/>
      <c r="K868" s="26"/>
    </row>
    <row r="869">
      <c r="A869" s="26"/>
      <c r="C869" s="26"/>
      <c r="G869" s="26"/>
      <c r="K869" s="26"/>
    </row>
    <row r="870">
      <c r="A870" s="26"/>
      <c r="C870" s="26"/>
      <c r="G870" s="26"/>
      <c r="K870" s="26"/>
    </row>
    <row r="871">
      <c r="A871" s="26"/>
      <c r="C871" s="26"/>
      <c r="G871" s="26"/>
      <c r="K871" s="26"/>
    </row>
    <row r="872">
      <c r="A872" s="26"/>
      <c r="C872" s="26"/>
      <c r="G872" s="26"/>
      <c r="K872" s="26"/>
    </row>
    <row r="873">
      <c r="A873" s="26"/>
      <c r="C873" s="26"/>
      <c r="G873" s="26"/>
      <c r="K873" s="26"/>
    </row>
    <row r="874">
      <c r="A874" s="26"/>
      <c r="C874" s="26"/>
      <c r="G874" s="26"/>
      <c r="K874" s="26"/>
    </row>
    <row r="875">
      <c r="A875" s="26"/>
      <c r="C875" s="26"/>
      <c r="G875" s="26"/>
      <c r="K875" s="26"/>
    </row>
    <row r="876">
      <c r="A876" s="26"/>
      <c r="C876" s="26"/>
      <c r="G876" s="26"/>
      <c r="K876" s="26"/>
    </row>
    <row r="877">
      <c r="A877" s="26"/>
      <c r="C877" s="26"/>
      <c r="G877" s="26"/>
      <c r="K877" s="26"/>
    </row>
    <row r="878">
      <c r="A878" s="26"/>
      <c r="C878" s="26"/>
      <c r="G878" s="26"/>
      <c r="K878" s="26"/>
    </row>
    <row r="879">
      <c r="A879" s="26"/>
      <c r="C879" s="26"/>
      <c r="G879" s="26"/>
      <c r="K879" s="26"/>
    </row>
    <row r="880">
      <c r="A880" s="26"/>
      <c r="C880" s="26"/>
      <c r="G880" s="26"/>
      <c r="K880" s="26"/>
    </row>
    <row r="881">
      <c r="A881" s="26"/>
      <c r="C881" s="26"/>
      <c r="G881" s="26"/>
      <c r="K881" s="26"/>
    </row>
    <row r="882">
      <c r="A882" s="26"/>
      <c r="C882" s="26"/>
      <c r="G882" s="26"/>
      <c r="K882" s="26"/>
    </row>
    <row r="883">
      <c r="A883" s="26"/>
      <c r="C883" s="26"/>
      <c r="G883" s="26"/>
      <c r="K883" s="26"/>
    </row>
    <row r="884">
      <c r="A884" s="26"/>
      <c r="C884" s="26"/>
      <c r="G884" s="26"/>
      <c r="K884" s="26"/>
    </row>
    <row r="885">
      <c r="A885" s="26"/>
      <c r="C885" s="26"/>
      <c r="G885" s="26"/>
      <c r="K885" s="26"/>
    </row>
    <row r="886">
      <c r="A886" s="26"/>
      <c r="C886" s="26"/>
      <c r="G886" s="26"/>
      <c r="K886" s="26"/>
    </row>
    <row r="887">
      <c r="A887" s="26"/>
      <c r="C887" s="26"/>
      <c r="G887" s="26"/>
      <c r="K887" s="26"/>
    </row>
    <row r="888">
      <c r="A888" s="26"/>
      <c r="C888" s="26"/>
      <c r="G888" s="26"/>
      <c r="K888" s="26"/>
    </row>
    <row r="889">
      <c r="A889" s="26"/>
      <c r="C889" s="26"/>
      <c r="G889" s="26"/>
      <c r="K889" s="26"/>
    </row>
    <row r="890">
      <c r="A890" s="26"/>
      <c r="C890" s="26"/>
      <c r="G890" s="26"/>
      <c r="K890" s="26"/>
    </row>
    <row r="891">
      <c r="A891" s="26"/>
      <c r="C891" s="26"/>
      <c r="G891" s="26"/>
      <c r="K891" s="26"/>
    </row>
    <row r="892">
      <c r="A892" s="26"/>
      <c r="C892" s="26"/>
      <c r="G892" s="26"/>
      <c r="K892" s="26"/>
    </row>
    <row r="893">
      <c r="A893" s="26"/>
      <c r="C893" s="26"/>
      <c r="G893" s="26"/>
      <c r="K893" s="26"/>
    </row>
    <row r="894">
      <c r="A894" s="26"/>
      <c r="C894" s="26"/>
      <c r="G894" s="26"/>
      <c r="K894" s="26"/>
    </row>
    <row r="895">
      <c r="A895" s="26"/>
      <c r="C895" s="26"/>
      <c r="G895" s="26"/>
      <c r="K895" s="26"/>
    </row>
    <row r="896">
      <c r="A896" s="26"/>
      <c r="C896" s="26"/>
      <c r="G896" s="26"/>
      <c r="K896" s="26"/>
    </row>
    <row r="897">
      <c r="A897" s="26"/>
      <c r="C897" s="26"/>
      <c r="G897" s="26"/>
      <c r="K897" s="26"/>
    </row>
    <row r="898">
      <c r="A898" s="26"/>
      <c r="C898" s="26"/>
      <c r="G898" s="26"/>
      <c r="K898" s="26"/>
    </row>
    <row r="899">
      <c r="A899" s="26"/>
      <c r="C899" s="26"/>
      <c r="G899" s="26"/>
      <c r="K899" s="26"/>
    </row>
    <row r="900">
      <c r="A900" s="26"/>
      <c r="C900" s="26"/>
      <c r="G900" s="26"/>
      <c r="K900" s="26"/>
    </row>
    <row r="901">
      <c r="A901" s="26"/>
      <c r="C901" s="26"/>
      <c r="G901" s="26"/>
      <c r="K901" s="26"/>
    </row>
    <row r="902">
      <c r="A902" s="26"/>
      <c r="C902" s="26"/>
      <c r="G902" s="26"/>
      <c r="K902" s="26"/>
    </row>
    <row r="903">
      <c r="A903" s="26"/>
      <c r="C903" s="26"/>
      <c r="G903" s="26"/>
      <c r="K903" s="26"/>
    </row>
    <row r="904">
      <c r="A904" s="26"/>
      <c r="C904" s="26"/>
      <c r="G904" s="26"/>
      <c r="K904" s="26"/>
    </row>
    <row r="905">
      <c r="A905" s="26"/>
      <c r="C905" s="26"/>
      <c r="G905" s="26"/>
      <c r="K905" s="26"/>
    </row>
    <row r="906">
      <c r="A906" s="26"/>
      <c r="C906" s="26"/>
      <c r="G906" s="26"/>
      <c r="K906" s="26"/>
    </row>
    <row r="907">
      <c r="A907" s="26"/>
      <c r="C907" s="26"/>
      <c r="G907" s="26"/>
      <c r="K907" s="26"/>
    </row>
    <row r="908">
      <c r="A908" s="26"/>
      <c r="C908" s="26"/>
      <c r="G908" s="26"/>
      <c r="K908" s="26"/>
    </row>
    <row r="909">
      <c r="A909" s="26"/>
      <c r="C909" s="26"/>
      <c r="G909" s="26"/>
      <c r="K909" s="26"/>
    </row>
    <row r="910">
      <c r="A910" s="26"/>
      <c r="C910" s="26"/>
      <c r="G910" s="26"/>
      <c r="K910" s="26"/>
    </row>
    <row r="911">
      <c r="A911" s="26"/>
      <c r="C911" s="26"/>
      <c r="G911" s="26"/>
      <c r="K911" s="26"/>
    </row>
    <row r="912">
      <c r="A912" s="26"/>
      <c r="C912" s="26"/>
      <c r="G912" s="26"/>
      <c r="K912" s="26"/>
    </row>
    <row r="913">
      <c r="A913" s="26"/>
      <c r="C913" s="26"/>
      <c r="G913" s="26"/>
      <c r="K913" s="26"/>
    </row>
    <row r="914">
      <c r="A914" s="26"/>
      <c r="C914" s="26"/>
      <c r="G914" s="26"/>
      <c r="K914" s="26"/>
    </row>
    <row r="915">
      <c r="A915" s="26"/>
      <c r="C915" s="26"/>
      <c r="G915" s="26"/>
      <c r="K915" s="26"/>
    </row>
    <row r="916">
      <c r="A916" s="26"/>
      <c r="C916" s="26"/>
      <c r="G916" s="26"/>
      <c r="K916" s="26"/>
    </row>
    <row r="917">
      <c r="A917" s="26"/>
      <c r="C917" s="26"/>
      <c r="G917" s="26"/>
      <c r="K917" s="26"/>
    </row>
    <row r="918">
      <c r="A918" s="26"/>
      <c r="C918" s="26"/>
      <c r="G918" s="26"/>
      <c r="K918" s="26"/>
    </row>
    <row r="919">
      <c r="A919" s="26"/>
      <c r="C919" s="26"/>
      <c r="G919" s="26"/>
      <c r="K919" s="26"/>
    </row>
    <row r="920">
      <c r="A920" s="26"/>
      <c r="C920" s="26"/>
      <c r="G920" s="26"/>
      <c r="K920" s="26"/>
    </row>
    <row r="921">
      <c r="A921" s="26"/>
      <c r="C921" s="26"/>
      <c r="G921" s="26"/>
      <c r="K921" s="26"/>
    </row>
    <row r="922">
      <c r="A922" s="26"/>
      <c r="C922" s="26"/>
      <c r="G922" s="26"/>
      <c r="K922" s="26"/>
    </row>
    <row r="923">
      <c r="A923" s="26"/>
      <c r="C923" s="26"/>
      <c r="G923" s="26"/>
      <c r="K923" s="26"/>
    </row>
    <row r="924">
      <c r="A924" s="26"/>
      <c r="C924" s="26"/>
      <c r="G924" s="26"/>
      <c r="K924" s="26"/>
    </row>
    <row r="925">
      <c r="A925" s="26"/>
      <c r="C925" s="26"/>
      <c r="G925" s="26"/>
      <c r="K925" s="26"/>
    </row>
    <row r="926">
      <c r="A926" s="26"/>
      <c r="C926" s="26"/>
      <c r="G926" s="26"/>
      <c r="K926" s="26"/>
    </row>
    <row r="927">
      <c r="A927" s="26"/>
      <c r="C927" s="26"/>
      <c r="G927" s="26"/>
      <c r="K927" s="26"/>
    </row>
    <row r="928">
      <c r="A928" s="26"/>
      <c r="C928" s="26"/>
      <c r="G928" s="26"/>
      <c r="K928" s="26"/>
    </row>
    <row r="929">
      <c r="A929" s="26"/>
      <c r="C929" s="26"/>
      <c r="G929" s="26"/>
      <c r="K929" s="26"/>
    </row>
    <row r="930">
      <c r="A930" s="26"/>
      <c r="C930" s="26"/>
      <c r="G930" s="26"/>
      <c r="K930" s="26"/>
    </row>
    <row r="931">
      <c r="A931" s="26"/>
      <c r="C931" s="26"/>
      <c r="G931" s="26"/>
      <c r="K931" s="26"/>
    </row>
    <row r="932">
      <c r="A932" s="26"/>
      <c r="C932" s="26"/>
      <c r="G932" s="26"/>
      <c r="K932" s="26"/>
    </row>
    <row r="933">
      <c r="A933" s="26"/>
      <c r="C933" s="26"/>
      <c r="G933" s="26"/>
      <c r="K933" s="26"/>
    </row>
    <row r="934">
      <c r="A934" s="26"/>
      <c r="C934" s="26"/>
      <c r="G934" s="26"/>
      <c r="K934" s="26"/>
    </row>
    <row r="935">
      <c r="A935" s="26"/>
      <c r="C935" s="26"/>
      <c r="G935" s="26"/>
      <c r="K935" s="26"/>
    </row>
    <row r="936">
      <c r="A936" s="26"/>
      <c r="C936" s="26"/>
      <c r="G936" s="26"/>
      <c r="K936" s="26"/>
    </row>
    <row r="937">
      <c r="A937" s="26"/>
      <c r="C937" s="26"/>
      <c r="G937" s="26"/>
      <c r="K937" s="26"/>
    </row>
    <row r="938">
      <c r="A938" s="26"/>
      <c r="C938" s="26"/>
      <c r="G938" s="26"/>
      <c r="K938" s="26"/>
    </row>
    <row r="939">
      <c r="A939" s="26"/>
      <c r="C939" s="26"/>
      <c r="G939" s="26"/>
      <c r="K939" s="26"/>
    </row>
    <row r="940">
      <c r="A940" s="26"/>
      <c r="C940" s="26"/>
      <c r="G940" s="26"/>
      <c r="K940" s="26"/>
    </row>
    <row r="941">
      <c r="A941" s="26"/>
      <c r="C941" s="26"/>
      <c r="G941" s="26"/>
      <c r="K941" s="26"/>
    </row>
    <row r="942">
      <c r="A942" s="26"/>
      <c r="C942" s="26"/>
      <c r="G942" s="26"/>
      <c r="K942" s="26"/>
    </row>
    <row r="943">
      <c r="A943" s="26"/>
      <c r="C943" s="26"/>
      <c r="G943" s="26"/>
      <c r="K943" s="26"/>
    </row>
    <row r="944">
      <c r="A944" s="26"/>
      <c r="C944" s="26"/>
      <c r="G944" s="26"/>
      <c r="K944" s="26"/>
    </row>
    <row r="945">
      <c r="A945" s="26"/>
      <c r="C945" s="26"/>
      <c r="G945" s="26"/>
      <c r="K945" s="26"/>
    </row>
    <row r="946">
      <c r="A946" s="26"/>
      <c r="C946" s="26"/>
      <c r="G946" s="26"/>
      <c r="K946" s="26"/>
    </row>
    <row r="947">
      <c r="A947" s="26"/>
      <c r="C947" s="26"/>
      <c r="G947" s="26"/>
      <c r="K947" s="26"/>
    </row>
    <row r="948">
      <c r="A948" s="26"/>
      <c r="C948" s="26"/>
      <c r="G948" s="26"/>
      <c r="K948" s="26"/>
    </row>
    <row r="949">
      <c r="A949" s="26"/>
      <c r="C949" s="26"/>
      <c r="G949" s="26"/>
      <c r="K949" s="26"/>
    </row>
    <row r="950">
      <c r="A950" s="26"/>
      <c r="C950" s="26"/>
      <c r="G950" s="26"/>
      <c r="K950" s="26"/>
    </row>
    <row r="951">
      <c r="A951" s="26"/>
      <c r="C951" s="26"/>
      <c r="G951" s="26"/>
      <c r="K951" s="26"/>
    </row>
    <row r="952">
      <c r="A952" s="26"/>
      <c r="C952" s="26"/>
      <c r="G952" s="26"/>
      <c r="K952" s="26"/>
    </row>
    <row r="953">
      <c r="A953" s="26"/>
      <c r="C953" s="26"/>
      <c r="G953" s="26"/>
      <c r="K953" s="26"/>
    </row>
    <row r="954">
      <c r="A954" s="26"/>
      <c r="C954" s="26"/>
      <c r="G954" s="26"/>
      <c r="K954" s="26"/>
    </row>
    <row r="955">
      <c r="A955" s="26"/>
      <c r="C955" s="26"/>
      <c r="G955" s="26"/>
      <c r="K955" s="26"/>
    </row>
    <row r="956">
      <c r="A956" s="26"/>
      <c r="C956" s="26"/>
      <c r="G956" s="26"/>
      <c r="K956" s="26"/>
    </row>
    <row r="957">
      <c r="A957" s="26"/>
      <c r="C957" s="26"/>
      <c r="G957" s="26"/>
      <c r="K957" s="26"/>
    </row>
    <row r="958">
      <c r="A958" s="26"/>
      <c r="C958" s="26"/>
      <c r="G958" s="26"/>
      <c r="K958" s="26"/>
    </row>
    <row r="959">
      <c r="A959" s="26"/>
      <c r="C959" s="26"/>
      <c r="G959" s="26"/>
      <c r="K959" s="26"/>
    </row>
    <row r="960">
      <c r="A960" s="26"/>
      <c r="C960" s="26"/>
      <c r="G960" s="26"/>
      <c r="K960" s="26"/>
    </row>
    <row r="961">
      <c r="A961" s="26"/>
      <c r="C961" s="26"/>
      <c r="G961" s="26"/>
      <c r="K961" s="26"/>
    </row>
    <row r="962">
      <c r="A962" s="26"/>
      <c r="C962" s="26"/>
      <c r="G962" s="26"/>
      <c r="K962" s="26"/>
    </row>
    <row r="963">
      <c r="A963" s="26"/>
      <c r="C963" s="26"/>
      <c r="G963" s="26"/>
      <c r="K963" s="26"/>
    </row>
    <row r="964">
      <c r="A964" s="26"/>
      <c r="C964" s="26"/>
      <c r="G964" s="26"/>
      <c r="K964" s="26"/>
    </row>
    <row r="965">
      <c r="A965" s="26"/>
      <c r="C965" s="26"/>
      <c r="G965" s="26"/>
      <c r="K965" s="26"/>
    </row>
    <row r="966">
      <c r="A966" s="26"/>
      <c r="C966" s="26"/>
      <c r="G966" s="26"/>
      <c r="K966" s="26"/>
    </row>
    <row r="967">
      <c r="A967" s="26"/>
      <c r="C967" s="26"/>
      <c r="G967" s="26"/>
      <c r="K967" s="26"/>
    </row>
    <row r="968">
      <c r="A968" s="26"/>
      <c r="C968" s="26"/>
      <c r="G968" s="26"/>
      <c r="K968" s="26"/>
    </row>
    <row r="969">
      <c r="A969" s="26"/>
      <c r="C969" s="26"/>
      <c r="G969" s="26"/>
      <c r="K969" s="26"/>
    </row>
    <row r="970">
      <c r="A970" s="26"/>
      <c r="C970" s="26"/>
      <c r="G970" s="26"/>
      <c r="K970" s="26"/>
    </row>
    <row r="971">
      <c r="A971" s="26"/>
      <c r="C971" s="26"/>
      <c r="G971" s="26"/>
      <c r="K971" s="26"/>
    </row>
    <row r="972">
      <c r="A972" s="26"/>
      <c r="C972" s="26"/>
      <c r="G972" s="26"/>
      <c r="K972" s="26"/>
    </row>
    <row r="973">
      <c r="A973" s="26"/>
      <c r="C973" s="26"/>
      <c r="G973" s="26"/>
      <c r="K973" s="26"/>
    </row>
    <row r="974">
      <c r="A974" s="26"/>
      <c r="C974" s="26"/>
      <c r="G974" s="26"/>
      <c r="K974" s="26"/>
    </row>
    <row r="975">
      <c r="A975" s="26"/>
      <c r="C975" s="26"/>
      <c r="G975" s="26"/>
      <c r="K975" s="26"/>
    </row>
    <row r="976">
      <c r="A976" s="26"/>
      <c r="C976" s="26"/>
      <c r="G976" s="26"/>
      <c r="K976" s="26"/>
    </row>
    <row r="977">
      <c r="A977" s="26"/>
      <c r="C977" s="26"/>
      <c r="G977" s="26"/>
      <c r="K977" s="26"/>
    </row>
    <row r="978">
      <c r="A978" s="26"/>
      <c r="C978" s="26"/>
      <c r="G978" s="26"/>
      <c r="K978" s="26"/>
    </row>
    <row r="979">
      <c r="A979" s="26"/>
      <c r="C979" s="26"/>
      <c r="G979" s="26"/>
      <c r="K979" s="26"/>
    </row>
    <row r="980">
      <c r="A980" s="26"/>
      <c r="C980" s="26"/>
      <c r="G980" s="26"/>
      <c r="K980" s="26"/>
    </row>
    <row r="981">
      <c r="A981" s="26"/>
      <c r="C981" s="26"/>
      <c r="G981" s="26"/>
      <c r="K981" s="26"/>
    </row>
    <row r="982">
      <c r="A982" s="26"/>
      <c r="C982" s="26"/>
      <c r="G982" s="26"/>
      <c r="K982" s="26"/>
    </row>
    <row r="983">
      <c r="A983" s="26"/>
      <c r="C983" s="26"/>
      <c r="G983" s="26"/>
      <c r="K983" s="26"/>
    </row>
    <row r="984">
      <c r="A984" s="26"/>
      <c r="C984" s="26"/>
      <c r="G984" s="26"/>
      <c r="K984" s="26"/>
    </row>
    <row r="985">
      <c r="A985" s="26"/>
      <c r="C985" s="26"/>
      <c r="G985" s="26"/>
      <c r="K985" s="26"/>
    </row>
    <row r="986">
      <c r="A986" s="26"/>
      <c r="C986" s="26"/>
      <c r="G986" s="26"/>
      <c r="K986" s="26"/>
    </row>
    <row r="987">
      <c r="A987" s="26"/>
      <c r="C987" s="26"/>
      <c r="G987" s="26"/>
      <c r="K987" s="26"/>
    </row>
    <row r="988">
      <c r="A988" s="26"/>
      <c r="C988" s="26"/>
      <c r="G988" s="26"/>
      <c r="K988" s="26"/>
    </row>
    <row r="989">
      <c r="A989" s="26"/>
      <c r="C989" s="26"/>
      <c r="G989" s="26"/>
      <c r="K989" s="26"/>
    </row>
    <row r="990">
      <c r="A990" s="26"/>
      <c r="C990" s="26"/>
      <c r="G990" s="26"/>
      <c r="K990" s="26"/>
    </row>
    <row r="991">
      <c r="A991" s="26"/>
      <c r="C991" s="26"/>
      <c r="G991" s="26"/>
      <c r="K991" s="26"/>
    </row>
    <row r="992">
      <c r="A992" s="26"/>
      <c r="C992" s="26"/>
      <c r="G992" s="26"/>
      <c r="K992" s="26"/>
    </row>
    <row r="993">
      <c r="A993" s="26"/>
      <c r="C993" s="26"/>
      <c r="G993" s="26"/>
      <c r="K993" s="26"/>
    </row>
    <row r="994">
      <c r="A994" s="26"/>
      <c r="C994" s="26"/>
      <c r="G994" s="26"/>
      <c r="K994" s="26"/>
    </row>
    <row r="995">
      <c r="A995" s="26"/>
      <c r="C995" s="26"/>
      <c r="G995" s="26"/>
      <c r="K995" s="26"/>
    </row>
    <row r="996">
      <c r="A996" s="26"/>
      <c r="C996" s="26"/>
      <c r="G996" s="26"/>
      <c r="K996" s="26"/>
    </row>
    <row r="997">
      <c r="A997" s="26"/>
      <c r="C997" s="26"/>
      <c r="G997" s="26"/>
      <c r="K997" s="26"/>
    </row>
    <row r="998">
      <c r="A998" s="26"/>
      <c r="C998" s="26"/>
      <c r="G998" s="26"/>
      <c r="K998" s="26"/>
    </row>
    <row r="999">
      <c r="A999" s="26"/>
      <c r="C999" s="26"/>
      <c r="G999" s="26"/>
      <c r="K999" s="26"/>
    </row>
    <row r="1000">
      <c r="A1000" s="26"/>
      <c r="C1000" s="26"/>
      <c r="G1000" s="26"/>
      <c r="K1000" s="26"/>
    </row>
    <row r="1001">
      <c r="A1001" s="26"/>
      <c r="C1001" s="26"/>
      <c r="G1001" s="26"/>
      <c r="K1001" s="26"/>
    </row>
    <row r="1002">
      <c r="A1002" s="26"/>
      <c r="C1002" s="26"/>
      <c r="G1002" s="26"/>
      <c r="K1002" s="26"/>
    </row>
  </sheetData>
  <mergeCells count="2">
    <mergeCell ref="D3:G3"/>
    <mergeCell ref="H3:K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/>
      <c r="B1" s="33"/>
      <c r="C1" s="33"/>
      <c r="D1" s="33"/>
      <c r="E1" s="33"/>
      <c r="F1" s="34"/>
    </row>
    <row r="2">
      <c r="C2" s="16"/>
      <c r="E2" s="16"/>
      <c r="F2" s="35"/>
    </row>
    <row r="3">
      <c r="C3" s="16"/>
      <c r="E3" s="16"/>
      <c r="F3" s="35"/>
    </row>
    <row r="4">
      <c r="C4" s="16"/>
      <c r="E4" s="16"/>
      <c r="F4" s="35"/>
    </row>
    <row r="5">
      <c r="C5" s="16"/>
      <c r="E5" s="16"/>
      <c r="F5" s="35"/>
    </row>
    <row r="6">
      <c r="C6" s="16"/>
      <c r="E6" s="16"/>
      <c r="F6" s="35"/>
    </row>
    <row r="7">
      <c r="C7" s="16"/>
      <c r="E7" s="16"/>
      <c r="F7" s="35"/>
    </row>
    <row r="8">
      <c r="C8" s="16"/>
      <c r="E8" s="16"/>
      <c r="F8" s="35"/>
    </row>
    <row r="9">
      <c r="C9" s="16"/>
      <c r="E9" s="16"/>
      <c r="F9" s="35"/>
    </row>
    <row r="10">
      <c r="E10" s="16"/>
      <c r="F10" s="34"/>
    </row>
    <row r="11">
      <c r="A11" s="34"/>
      <c r="B11" s="36"/>
      <c r="C11" s="36"/>
      <c r="D11" s="36"/>
      <c r="E11" s="36"/>
      <c r="F11" s="35"/>
    </row>
    <row r="12">
      <c r="A12" s="34"/>
      <c r="B12" s="36"/>
      <c r="C12" s="36"/>
      <c r="D12" s="36"/>
      <c r="E12" s="36"/>
      <c r="F12" s="35"/>
    </row>
    <row r="13">
      <c r="A13" s="34"/>
      <c r="B13" s="36"/>
      <c r="C13" s="36"/>
      <c r="D13" s="36"/>
      <c r="E13" s="36"/>
      <c r="F13" s="35"/>
    </row>
    <row r="14">
      <c r="A14" s="34"/>
      <c r="B14" s="36"/>
      <c r="C14" s="36"/>
      <c r="D14" s="36"/>
      <c r="E14" s="36"/>
      <c r="F14" s="35"/>
    </row>
    <row r="15">
      <c r="A15" s="34"/>
      <c r="B15" s="36"/>
      <c r="C15" s="36"/>
      <c r="D15" s="36"/>
      <c r="E15" s="36"/>
      <c r="F15" s="35"/>
    </row>
    <row r="16">
      <c r="A16" s="34"/>
      <c r="B16" s="36"/>
      <c r="C16" s="36"/>
      <c r="D16" s="36"/>
      <c r="E16" s="36"/>
      <c r="F16" s="35"/>
    </row>
    <row r="17">
      <c r="A17" s="34"/>
      <c r="B17" s="36"/>
      <c r="C17" s="36"/>
      <c r="D17" s="36"/>
      <c r="E17" s="36"/>
      <c r="F17" s="35"/>
    </row>
    <row r="18">
      <c r="A18" s="34"/>
      <c r="B18" s="36"/>
      <c r="C18" s="36"/>
      <c r="D18" s="36"/>
      <c r="E18" s="36"/>
      <c r="F18" s="35"/>
    </row>
    <row r="19">
      <c r="A19" s="34"/>
      <c r="B19" s="36"/>
      <c r="C19" s="36"/>
      <c r="D19" s="36"/>
      <c r="E19" s="36"/>
      <c r="F19" s="35"/>
    </row>
  </sheetData>
  <drawing r:id="rId1"/>
</worksheet>
</file>