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_inv" sheetId="1" r:id="rId4"/>
    <sheet state="visible" name="Struct_imp" sheetId="2" r:id="rId5"/>
    <sheet state="visible" name="Windgene_inv" sheetId="3" r:id="rId6"/>
    <sheet state="visible" name="WindGene_imp" sheetId="4" r:id="rId7"/>
  </sheets>
  <definedNames/>
  <calcPr/>
</workbook>
</file>

<file path=xl/sharedStrings.xml><?xml version="1.0" encoding="utf-8"?>
<sst xmlns="http://schemas.openxmlformats.org/spreadsheetml/2006/main" count="221" uniqueCount="96">
  <si>
    <t>name</t>
  </si>
  <si>
    <t>location</t>
  </si>
  <si>
    <t>value in A.P these</t>
  </si>
  <si>
    <t>value in my work</t>
  </si>
  <si>
    <t>unit</t>
  </si>
  <si>
    <t>error</t>
  </si>
  <si>
    <t>cause</t>
  </si>
  <si>
    <t>Cable 48V</t>
  </si>
  <si>
    <t>Même modélisation</t>
  </si>
  <si>
    <t>concrete block production</t>
  </si>
  <si>
    <t>RoW</t>
  </si>
  <si>
    <t>t</t>
  </si>
  <si>
    <t>Valeur moyenne constante chez AP vs double regression sur hauteur et diamètre pour moi</t>
  </si>
  <si>
    <t>drawing of pipe, steel</t>
  </si>
  <si>
    <t>RER</t>
  </si>
  <si>
    <t>kg</t>
  </si>
  <si>
    <t>Valeur exacte du manuel vs interpolation</t>
  </si>
  <si>
    <t>metal working, average for steel product manuf...</t>
  </si>
  <si>
    <t>Tige fileté : M16 contre M18 + 4kg de hardware en plus</t>
  </si>
  <si>
    <t>reinforcing steel production</t>
  </si>
  <si>
    <t>Europe without Austria</t>
  </si>
  <si>
    <t>steel production, converter, unalloyed</t>
  </si>
  <si>
    <t xml:space="preserve">Valeur exacte du manuel vs interpoation + + 11 kg de répartiteur hauban +  je met tout en unallowyed sauf la quincaillerie </t>
  </si>
  <si>
    <t>steel production, low-alloyed, hot rolled</t>
  </si>
  <si>
    <t>Tige fileté : M16 contre M18 + 4kg de hardware en plus + je compte pas les cornières et les fer plats</t>
  </si>
  <si>
    <t>welding, arc, steel</t>
  </si>
  <si>
    <t>m</t>
  </si>
  <si>
    <t xml:space="preserve">Mon hyp : environ une boite de baguette </t>
  </si>
  <si>
    <t>wire drawing, steel</t>
  </si>
  <si>
    <t>100m de câble selon le manuel vs 89m avec mon interpolation</t>
  </si>
  <si>
    <t>zinc coating, coils</t>
  </si>
  <si>
    <t>m²</t>
  </si>
  <si>
    <t>Utilise coils et moi piece</t>
  </si>
  <si>
    <t>zinc coating, pieces</t>
  </si>
  <si>
    <t>Je prends la surface extérieur du câble et pas la surface de chaque brin + 100m de câble selon le manuel vs 89m avec mon interpolation</t>
  </si>
  <si>
    <t>Material\Impacts</t>
  </si>
  <si>
    <t>Abiotic Depletion Potential (elements) [kg Sb-Eq]</t>
  </si>
  <si>
    <t>Global Warming Potential (GWP100) [kg CO2-Eq]</t>
  </si>
  <si>
    <t>Abiotic Depletion Potential (fossil fuels) [MJ]</t>
  </si>
  <si>
    <t>Eutrophication: Freshwater [kg PO4-Eq]</t>
  </si>
  <si>
    <t>Ecotoxicity: Freshwater [CTUe]</t>
  </si>
  <si>
    <t>Material</t>
  </si>
  <si>
    <t>Cable</t>
  </si>
  <si>
    <t>A.P</t>
  </si>
  <si>
    <t>0.0180594</t>
  </si>
  <si>
    <t>9.69995</t>
  </si>
  <si>
    <t>125.155</t>
  </si>
  <si>
    <t>0.0591089</t>
  </si>
  <si>
    <t>6653.86</t>
  </si>
  <si>
    <t>Hyp 1</t>
  </si>
  <si>
    <t>Concrete</t>
  </si>
  <si>
    <t>0.00570065</t>
  </si>
  <si>
    <t>556.245</t>
  </si>
  <si>
    <t>9707.52</t>
  </si>
  <si>
    <t>Hyp 2</t>
  </si>
  <si>
    <t>Steel</t>
  </si>
  <si>
    <t>0.0019673</t>
  </si>
  <si>
    <t>409.687</t>
  </si>
  <si>
    <t>0.200289</t>
  </si>
  <si>
    <t>11292.3</t>
  </si>
  <si>
    <t>Zinc_coating</t>
  </si>
  <si>
    <t>0.0168382</t>
  </si>
  <si>
    <t>53.4661</t>
  </si>
  <si>
    <t>886.637</t>
  </si>
  <si>
    <t>0.0428886</t>
  </si>
  <si>
    <t>Pas la même qté+j'utilise un béton générique alors que dans AP c'est parpaing</t>
  </si>
  <si>
    <t>Mât : Valeur exacte du manuel vs interpolation</t>
  </si>
  <si>
    <t>Tige fileté : M16 contre M18 + 4kg de hardware en plus + 11 kg de répartiteur hauban</t>
  </si>
  <si>
    <t>100m de câble selon le manuel vs 89m avec mon interpolation+pas les même qté de unallowed et de lowalloyed</t>
  </si>
  <si>
    <t>4kg de hardware en + et bcp moins de surface de câble à galvaniser</t>
  </si>
  <si>
    <t>kilogram</t>
  </si>
  <si>
    <t>Mon résultat viens de OpenAFPM.CAD</t>
  </si>
  <si>
    <t>glass fibre production</t>
  </si>
  <si>
    <t>isophthalic acid based unsaturated polyester r...</t>
  </si>
  <si>
    <t>market for copper, cathode</t>
  </si>
  <si>
    <t>GLO</t>
  </si>
  <si>
    <t>market group for electricity, medium voltage</t>
  </si>
  <si>
    <t>kilowatt hour</t>
  </si>
  <si>
    <t>metal working, average for chromium steel prod...</t>
  </si>
  <si>
    <t>permanent magnet production, for electric motor</t>
  </si>
  <si>
    <t>planing, beam, softwood, u=20%</t>
  </si>
  <si>
    <t>Europe without Switzerland</t>
  </si>
  <si>
    <t>valeur exact vs regression</t>
  </si>
  <si>
    <t>plywood production</t>
  </si>
  <si>
    <t>cubic meter</t>
  </si>
  <si>
    <t>1 moule pour 5 éoliennes, pas de chûte sur le safran</t>
  </si>
  <si>
    <t xml:space="preserve">polyester resin production, unsaturated 	</t>
  </si>
  <si>
    <t>sheet rolling, copper</t>
  </si>
  <si>
    <t>steatite quarry operation</t>
  </si>
  <si>
    <t>1,5 selon le manuel</t>
  </si>
  <si>
    <t>steel production, chromium steel 18/8, hot rolled</t>
  </si>
  <si>
    <t>J'ai refait une regression</t>
  </si>
  <si>
    <t>J'ai tout en unallowed sauf la quincaillerie, les 6 kg de différence sont du tube</t>
  </si>
  <si>
    <t>wire drawing, copper</t>
  </si>
  <si>
    <t>xylene production</t>
  </si>
  <si>
    <t>square 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</si>
</sst>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m.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/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readingOrder="0"/>
    </xf>
    <xf borderId="2" fillId="2" fontId="2" numFmtId="0" xfId="0" applyBorder="1" applyFill="1" applyFont="1"/>
    <xf borderId="2" fillId="2" fontId="2" numFmtId="0" xfId="0" applyAlignment="1" applyBorder="1" applyFont="1">
      <alignment readingOrder="0"/>
    </xf>
    <xf borderId="2" fillId="2" fontId="2" numFmtId="10" xfId="0" applyBorder="1" applyFont="1" applyNumberFormat="1"/>
    <xf borderId="2" fillId="0" fontId="2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2" numFmtId="0" xfId="0" applyAlignment="1" applyBorder="1" applyFont="1">
      <alignment readingOrder="0"/>
    </xf>
    <xf borderId="3" fillId="0" fontId="2" numFmtId="10" xfId="0" applyAlignment="1" applyBorder="1" applyFont="1" applyNumberFormat="1">
      <alignment readingOrder="0"/>
    </xf>
    <xf borderId="3" fillId="0" fontId="2" numFmtId="0" xfId="0" applyAlignment="1" applyBorder="1" applyFont="1">
      <alignment readingOrder="0" shrinkToFit="0" wrapText="1"/>
    </xf>
    <xf borderId="2" fillId="0" fontId="2" numFmtId="0" xfId="0" applyBorder="1" applyFont="1"/>
    <xf borderId="2" fillId="0" fontId="2" numFmtId="10" xfId="0" applyBorder="1" applyFont="1" applyNumberFormat="1"/>
    <xf borderId="0" fillId="0" fontId="2" numFmtId="0" xfId="0" applyAlignment="1" applyFont="1">
      <alignment readingOrder="0"/>
    </xf>
    <xf borderId="2" fillId="0" fontId="2" numFmtId="10" xfId="0" applyAlignment="1" applyBorder="1" applyFont="1" applyNumberFormat="1">
      <alignment readingOrder="0"/>
    </xf>
    <xf borderId="4" fillId="0" fontId="2" numFmtId="0" xfId="0" applyBorder="1" applyFont="1"/>
    <xf borderId="4" fillId="0" fontId="2" numFmtId="0" xfId="0" applyAlignment="1" applyBorder="1" applyFont="1">
      <alignment readingOrder="0"/>
    </xf>
    <xf borderId="4" fillId="0" fontId="2" numFmtId="10" xfId="0" applyBorder="1" applyFont="1" applyNumberFormat="1"/>
    <xf borderId="4" fillId="0" fontId="2" numFmtId="0" xfId="0" applyAlignment="1" applyBorder="1" applyFont="1">
      <alignment readingOrder="0" shrinkToFit="0" wrapText="1"/>
    </xf>
    <xf borderId="0" fillId="0" fontId="2" numFmtId="10" xfId="0" applyFont="1" applyNumberForma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5" fillId="0" fontId="3" numFmtId="0" xfId="0" applyAlignment="1" applyBorder="1" applyFont="1">
      <alignment horizontal="center" readingOrder="0" shrinkToFit="0" vertical="top" wrapText="1"/>
    </xf>
    <xf borderId="6" fillId="0" fontId="4" numFmtId="0" xfId="0" applyBorder="1" applyFont="1"/>
    <xf borderId="7" fillId="0" fontId="4" numFmtId="0" xfId="0" applyBorder="1" applyFont="1"/>
    <xf borderId="1" fillId="0" fontId="3" numFmtId="0" xfId="0" applyAlignment="1" applyBorder="1" applyFont="1">
      <alignment horizontal="center" vertical="top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3" fillId="0" fontId="2" numFmtId="11" xfId="0" applyAlignment="1" applyBorder="1" applyFont="1" applyNumberFormat="1">
      <alignment readingOrder="0"/>
    </xf>
    <xf borderId="10" fillId="0" fontId="5" numFmtId="0" xfId="0" applyBorder="1" applyFont="1"/>
    <xf borderId="10" fillId="0" fontId="2" numFmtId="0" xfId="0" applyBorder="1" applyFont="1"/>
    <xf borderId="8" fillId="0" fontId="2" numFmtId="0" xfId="0" applyBorder="1" applyFont="1"/>
    <xf borderId="2" fillId="0" fontId="2" numFmtId="11" xfId="0" applyAlignment="1" applyBorder="1" applyFont="1" applyNumberFormat="1">
      <alignment readingOrder="0"/>
    </xf>
    <xf borderId="11" fillId="0" fontId="5" numFmtId="10" xfId="0" applyBorder="1" applyFont="1" applyNumberFormat="1"/>
    <xf borderId="11" fillId="0" fontId="2" numFmtId="10" xfId="0" applyBorder="1" applyFont="1" applyNumberFormat="1"/>
    <xf borderId="0" fillId="0" fontId="2" numFmtId="164" xfId="0" applyAlignment="1" applyFont="1" applyNumberFormat="1">
      <alignment readingOrder="0"/>
    </xf>
    <xf borderId="12" fillId="0" fontId="2" numFmtId="0" xfId="0" applyBorder="1" applyFont="1"/>
    <xf borderId="4" fillId="0" fontId="2" numFmtId="11" xfId="0" applyAlignment="1" applyBorder="1" applyFont="1" applyNumberFormat="1">
      <alignment readingOrder="0"/>
    </xf>
    <xf borderId="4" fillId="0" fontId="6" numFmtId="11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shrinkToFit="0" vertical="bottom" wrapText="1"/>
    </xf>
    <xf borderId="12" fillId="0" fontId="2" numFmtId="0" xfId="0" applyAlignment="1" applyBorder="1" applyFont="1">
      <alignment readingOrder="0"/>
    </xf>
    <xf borderId="13" fillId="0" fontId="5" numFmtId="10" xfId="0" applyBorder="1" applyFont="1" applyNumberFormat="1"/>
    <xf borderId="13" fillId="0" fontId="2" numFmtId="10" xfId="0" applyBorder="1" applyFont="1" applyNumberFormat="1"/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top" wrapText="1"/>
    </xf>
    <xf borderId="3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2" fillId="0" fontId="4" numFmtId="0" xfId="0" applyBorder="1" applyFont="1"/>
    <xf borderId="14" fillId="0" fontId="2" numFmtId="0" xfId="0" applyAlignment="1" applyBorder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14"/>
    <col customWidth="1" min="3" max="4" width="8.71"/>
    <col customWidth="1" min="5" max="5" width="13.57"/>
    <col customWidth="1" min="6" max="6" width="4.86"/>
    <col customWidth="1" min="7" max="7" width="8.71"/>
    <col customWidth="1" min="8" max="8" width="31.71"/>
    <col customWidth="1" min="9" max="27" width="8.71"/>
  </cols>
  <sheetData>
    <row r="1">
      <c r="A1" s="1"/>
      <c r="B1" s="1"/>
      <c r="C1" s="1"/>
      <c r="D1" s="2"/>
      <c r="E1" s="2"/>
      <c r="F1" s="1"/>
      <c r="G1" s="1"/>
      <c r="H1" s="1"/>
    </row>
    <row r="2">
      <c r="A2" s="1"/>
      <c r="B2" s="3" t="s">
        <v>0</v>
      </c>
      <c r="C2" s="3" t="s">
        <v>1</v>
      </c>
      <c r="D2" s="4" t="s">
        <v>2</v>
      </c>
      <c r="E2" s="4" t="s">
        <v>3</v>
      </c>
      <c r="F2" s="3" t="s">
        <v>4</v>
      </c>
      <c r="G2" s="3" t="s">
        <v>5</v>
      </c>
      <c r="H2" s="3" t="s">
        <v>6</v>
      </c>
    </row>
    <row r="3">
      <c r="B3" s="5" t="s">
        <v>7</v>
      </c>
      <c r="C3" s="6"/>
      <c r="D3" s="7"/>
      <c r="E3" s="7"/>
      <c r="F3" s="7"/>
      <c r="G3" s="8"/>
      <c r="H3" s="9" t="s">
        <v>8</v>
      </c>
    </row>
    <row r="4">
      <c r="B4" s="10" t="s">
        <v>9</v>
      </c>
      <c r="C4" s="10" t="s">
        <v>10</v>
      </c>
      <c r="D4" s="11">
        <v>3.8</v>
      </c>
      <c r="E4" s="10">
        <f>2.5*1.89</f>
        <v>4.725</v>
      </c>
      <c r="F4" s="11" t="s">
        <v>11</v>
      </c>
      <c r="G4" s="12">
        <f t="shared" ref="G4:G13" si="1">(E4-D4)/D4</f>
        <v>0.2434210526</v>
      </c>
      <c r="H4" s="13" t="s">
        <v>12</v>
      </c>
    </row>
    <row r="5">
      <c r="B5" s="14" t="s">
        <v>13</v>
      </c>
      <c r="C5" s="14" t="s">
        <v>14</v>
      </c>
      <c r="D5" s="5">
        <v>116.48</v>
      </c>
      <c r="E5" s="14">
        <v>115.204</v>
      </c>
      <c r="F5" s="5" t="s">
        <v>15</v>
      </c>
      <c r="G5" s="15">
        <f t="shared" si="1"/>
        <v>-0.01095467033</v>
      </c>
      <c r="H5" s="9" t="s">
        <v>16</v>
      </c>
    </row>
    <row r="6">
      <c r="B6" s="14" t="s">
        <v>17</v>
      </c>
      <c r="C6" s="14" t="s">
        <v>14</v>
      </c>
      <c r="D6" s="5">
        <v>9.76</v>
      </c>
      <c r="E6" s="14">
        <v>14.3176</v>
      </c>
      <c r="F6" s="5" t="s">
        <v>15</v>
      </c>
      <c r="G6" s="15">
        <f t="shared" si="1"/>
        <v>0.4669672131</v>
      </c>
      <c r="H6" s="9" t="s">
        <v>18</v>
      </c>
    </row>
    <row r="7">
      <c r="B7" s="14" t="s">
        <v>19</v>
      </c>
      <c r="C7" s="14" t="s">
        <v>20</v>
      </c>
      <c r="D7" s="5">
        <v>28.8</v>
      </c>
      <c r="E7" s="14">
        <v>28.838</v>
      </c>
      <c r="F7" s="5" t="s">
        <v>15</v>
      </c>
      <c r="G7" s="15">
        <f t="shared" si="1"/>
        <v>0.001319444444</v>
      </c>
      <c r="H7" s="9"/>
    </row>
    <row r="8">
      <c r="B8" s="14" t="s">
        <v>21</v>
      </c>
      <c r="C8" s="14" t="s">
        <v>14</v>
      </c>
      <c r="D8" s="5">
        <v>127.73</v>
      </c>
      <c r="E8" s="16">
        <v>147.068</v>
      </c>
      <c r="F8" s="5" t="s">
        <v>15</v>
      </c>
      <c r="G8" s="15">
        <f t="shared" si="1"/>
        <v>0.1513974791</v>
      </c>
      <c r="H8" s="9" t="s">
        <v>22</v>
      </c>
    </row>
    <row r="9">
      <c r="B9" s="14" t="s">
        <v>23</v>
      </c>
      <c r="C9" s="14" t="s">
        <v>14</v>
      </c>
      <c r="D9" s="5">
        <v>30.9</v>
      </c>
      <c r="E9" s="5">
        <v>25.6216</v>
      </c>
      <c r="F9" s="5" t="s">
        <v>15</v>
      </c>
      <c r="G9" s="15">
        <f t="shared" si="1"/>
        <v>-0.1708220065</v>
      </c>
      <c r="H9" s="9" t="s">
        <v>24</v>
      </c>
    </row>
    <row r="10">
      <c r="B10" s="14" t="s">
        <v>25</v>
      </c>
      <c r="C10" s="14" t="s">
        <v>14</v>
      </c>
      <c r="D10" s="5">
        <v>1.0</v>
      </c>
      <c r="E10" s="14">
        <v>5.0</v>
      </c>
      <c r="F10" s="5" t="s">
        <v>26</v>
      </c>
      <c r="G10" s="15">
        <f t="shared" si="1"/>
        <v>4</v>
      </c>
      <c r="H10" s="9" t="s">
        <v>27</v>
      </c>
    </row>
    <row r="11">
      <c r="A11" s="16"/>
      <c r="B11" s="5" t="s">
        <v>28</v>
      </c>
      <c r="C11" s="5" t="s">
        <v>14</v>
      </c>
      <c r="D11" s="5">
        <v>11.246</v>
      </c>
      <c r="E11" s="5">
        <v>10.08</v>
      </c>
      <c r="F11" s="5" t="s">
        <v>15</v>
      </c>
      <c r="G11" s="17">
        <f t="shared" si="1"/>
        <v>-0.1036813089</v>
      </c>
      <c r="H11" s="9" t="s">
        <v>29</v>
      </c>
    </row>
    <row r="12">
      <c r="A12" s="16"/>
      <c r="B12" s="5" t="s">
        <v>30</v>
      </c>
      <c r="C12" s="14" t="s">
        <v>14</v>
      </c>
      <c r="D12" s="5">
        <v>14.32</v>
      </c>
      <c r="E12" s="5">
        <v>0.0</v>
      </c>
      <c r="F12" s="5" t="s">
        <v>31</v>
      </c>
      <c r="G12" s="15">
        <f t="shared" si="1"/>
        <v>-1</v>
      </c>
      <c r="H12" s="9" t="s">
        <v>32</v>
      </c>
    </row>
    <row r="13">
      <c r="B13" s="18" t="s">
        <v>33</v>
      </c>
      <c r="C13" s="18" t="s">
        <v>14</v>
      </c>
      <c r="D13" s="19">
        <v>1.1</v>
      </c>
      <c r="E13" s="19">
        <v>0.88</v>
      </c>
      <c r="F13" s="19" t="s">
        <v>31</v>
      </c>
      <c r="G13" s="20">
        <f t="shared" si="1"/>
        <v>-0.2</v>
      </c>
      <c r="H13" s="21" t="s">
        <v>34</v>
      </c>
    </row>
    <row r="15">
      <c r="D15" s="16"/>
      <c r="E15" s="16"/>
      <c r="F15" s="16"/>
      <c r="G15" s="22"/>
      <c r="H15" s="2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9.71"/>
    <col customWidth="1" min="3" max="3" width="8.57"/>
    <col customWidth="1" min="4" max="4" width="9.71"/>
    <col customWidth="1" min="5" max="5" width="6.86"/>
    <col customWidth="1" min="6" max="6" width="7.29"/>
    <col customWidth="1" min="7" max="7" width="8.57"/>
    <col customWidth="1" min="8" max="8" width="7.86"/>
    <col customWidth="1" min="9" max="9" width="7.71"/>
    <col customWidth="1" min="10" max="10" width="8.57"/>
    <col customWidth="1" min="11" max="11" width="7.86"/>
    <col customWidth="1" min="12" max="12" width="7.71"/>
    <col customWidth="1" min="13" max="13" width="8.86"/>
    <col customWidth="1" min="14" max="14" width="9.29"/>
    <col customWidth="1" min="15" max="15" width="7.43"/>
    <col customWidth="1" min="16" max="16" width="10.0"/>
    <col customWidth="1" min="17" max="17" width="8.29"/>
    <col customWidth="1" min="18" max="18" width="31.71"/>
    <col customWidth="1" min="19" max="37" width="8.71"/>
  </cols>
  <sheetData>
    <row r="1">
      <c r="A1" s="24"/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T1" s="16"/>
      <c r="U1" s="16"/>
      <c r="V1" s="16"/>
      <c r="W1" s="16"/>
      <c r="X1" s="16"/>
      <c r="Y1" s="16"/>
    </row>
    <row r="2">
      <c r="A2" s="24"/>
      <c r="B2" s="27" t="s">
        <v>35</v>
      </c>
      <c r="C2" s="28" t="s">
        <v>36</v>
      </c>
      <c r="D2" s="29"/>
      <c r="E2" s="30"/>
      <c r="F2" s="28" t="s">
        <v>37</v>
      </c>
      <c r="G2" s="29"/>
      <c r="H2" s="30"/>
      <c r="I2" s="28" t="s">
        <v>38</v>
      </c>
      <c r="J2" s="29"/>
      <c r="K2" s="30"/>
      <c r="L2" s="28" t="s">
        <v>39</v>
      </c>
      <c r="M2" s="29"/>
      <c r="N2" s="30"/>
      <c r="O2" s="28" t="s">
        <v>40</v>
      </c>
      <c r="P2" s="29"/>
      <c r="Q2" s="30"/>
      <c r="R2" s="31" t="s">
        <v>6</v>
      </c>
      <c r="T2" s="16" t="s">
        <v>41</v>
      </c>
      <c r="U2" s="16" t="s">
        <v>36</v>
      </c>
      <c r="V2" s="16" t="s">
        <v>37</v>
      </c>
      <c r="W2" s="16" t="s">
        <v>38</v>
      </c>
      <c r="X2" s="16" t="s">
        <v>39</v>
      </c>
      <c r="Y2" s="16" t="s">
        <v>40</v>
      </c>
    </row>
    <row r="3">
      <c r="A3" s="16"/>
      <c r="B3" s="32" t="s">
        <v>42</v>
      </c>
      <c r="C3" s="33" t="s">
        <v>43</v>
      </c>
      <c r="D3" s="34">
        <v>0.018059</v>
      </c>
      <c r="E3" s="35"/>
      <c r="F3" s="33" t="s">
        <v>43</v>
      </c>
      <c r="G3" s="34">
        <v>9.69995</v>
      </c>
      <c r="H3" s="36"/>
      <c r="I3" s="33" t="s">
        <v>43</v>
      </c>
      <c r="J3" s="34">
        <v>125.155</v>
      </c>
      <c r="K3" s="35"/>
      <c r="L3" s="33" t="s">
        <v>43</v>
      </c>
      <c r="M3" s="34">
        <v>0.0591089</v>
      </c>
      <c r="N3" s="35"/>
      <c r="O3" s="33" t="s">
        <v>43</v>
      </c>
      <c r="P3" s="34">
        <v>6653.86</v>
      </c>
      <c r="Q3" s="35"/>
      <c r="R3" s="13"/>
      <c r="T3" s="16" t="s">
        <v>42</v>
      </c>
      <c r="U3" s="16" t="s">
        <v>44</v>
      </c>
      <c r="V3" s="16" t="s">
        <v>45</v>
      </c>
      <c r="W3" s="16" t="s">
        <v>46</v>
      </c>
      <c r="X3" s="16" t="s">
        <v>47</v>
      </c>
      <c r="Y3" s="16" t="s">
        <v>48</v>
      </c>
    </row>
    <row r="4">
      <c r="B4" s="37"/>
      <c r="C4" s="32" t="s">
        <v>49</v>
      </c>
      <c r="D4" s="38">
        <v>0.018059</v>
      </c>
      <c r="E4" s="39">
        <f>(D4-D3)/D3</f>
        <v>0</v>
      </c>
      <c r="F4" s="32" t="s">
        <v>49</v>
      </c>
      <c r="G4" s="38">
        <v>9.69996</v>
      </c>
      <c r="H4" s="40">
        <f>(G4-G3)/G3</f>
        <v>0.000001030933149</v>
      </c>
      <c r="I4" s="32" t="s">
        <v>49</v>
      </c>
      <c r="J4" s="38">
        <v>125.155</v>
      </c>
      <c r="K4" s="39">
        <f>(J3-J4)/J4</f>
        <v>0</v>
      </c>
      <c r="L4" s="32" t="s">
        <v>49</v>
      </c>
      <c r="M4" s="38">
        <v>0.0591089</v>
      </c>
      <c r="N4" s="39">
        <f>(M3-M4)/M4</f>
        <v>0</v>
      </c>
      <c r="O4" s="32" t="s">
        <v>49</v>
      </c>
      <c r="P4" s="38">
        <v>6653.86</v>
      </c>
      <c r="Q4" s="39">
        <f>(P3-P4)/P4</f>
        <v>0</v>
      </c>
      <c r="R4" s="9"/>
      <c r="T4" s="16" t="s">
        <v>50</v>
      </c>
      <c r="U4" s="16" t="s">
        <v>51</v>
      </c>
      <c r="V4" s="16" t="s">
        <v>52</v>
      </c>
      <c r="W4" s="41">
        <v>809348.0</v>
      </c>
      <c r="X4" s="16">
        <v>0.0987385</v>
      </c>
      <c r="Y4" s="16" t="s">
        <v>53</v>
      </c>
    </row>
    <row r="5">
      <c r="B5" s="42"/>
      <c r="C5" s="32" t="s">
        <v>54</v>
      </c>
      <c r="D5" s="43">
        <v>0.018059</v>
      </c>
      <c r="E5" s="39">
        <f>(D5-D3)/D3</f>
        <v>0</v>
      </c>
      <c r="F5" s="32" t="s">
        <v>54</v>
      </c>
      <c r="G5" s="43">
        <v>9.69997</v>
      </c>
      <c r="H5" s="40">
        <f>(G5-G3)/G3</f>
        <v>0.000002061866298</v>
      </c>
      <c r="I5" s="32" t="s">
        <v>54</v>
      </c>
      <c r="J5" s="43">
        <v>125.155</v>
      </c>
      <c r="K5" s="39">
        <f>(J3-J5)/J5</f>
        <v>0</v>
      </c>
      <c r="L5" s="32" t="s">
        <v>54</v>
      </c>
      <c r="M5" s="43">
        <v>0.0591089</v>
      </c>
      <c r="N5" s="39">
        <f>(M3-M5)/M5</f>
        <v>0</v>
      </c>
      <c r="O5" s="32" t="s">
        <v>54</v>
      </c>
      <c r="P5" s="43">
        <v>6653.86</v>
      </c>
      <c r="Q5" s="39">
        <f>(P3-P5)/P5</f>
        <v>0</v>
      </c>
      <c r="R5" s="21"/>
      <c r="T5" s="16" t="s">
        <v>55</v>
      </c>
      <c r="U5" s="16" t="s">
        <v>56</v>
      </c>
      <c r="V5" s="16" t="s">
        <v>57</v>
      </c>
      <c r="W5" s="41">
        <v>813183.0</v>
      </c>
      <c r="X5" s="16" t="s">
        <v>58</v>
      </c>
      <c r="Y5" s="16" t="s">
        <v>59</v>
      </c>
    </row>
    <row r="6">
      <c r="A6" s="16"/>
      <c r="B6" s="32" t="s">
        <v>50</v>
      </c>
      <c r="C6" s="33" t="s">
        <v>43</v>
      </c>
      <c r="D6" s="34">
        <v>0.00570065</v>
      </c>
      <c r="E6" s="35"/>
      <c r="F6" s="33" t="s">
        <v>43</v>
      </c>
      <c r="G6" s="34">
        <v>556.245</v>
      </c>
      <c r="H6" s="36"/>
      <c r="I6" s="33" t="s">
        <v>43</v>
      </c>
      <c r="J6" s="34">
        <v>4115.0</v>
      </c>
      <c r="K6" s="35"/>
      <c r="L6" s="33" t="s">
        <v>43</v>
      </c>
      <c r="M6" s="34">
        <v>0.0987385</v>
      </c>
      <c r="N6" s="35"/>
      <c r="O6" s="33" t="s">
        <v>43</v>
      </c>
      <c r="P6" s="34">
        <v>11292.3</v>
      </c>
      <c r="Q6" s="35"/>
      <c r="R6" s="9"/>
      <c r="T6" s="16" t="s">
        <v>60</v>
      </c>
      <c r="U6" s="16" t="s">
        <v>61</v>
      </c>
      <c r="V6" s="16" t="s">
        <v>62</v>
      </c>
      <c r="W6" s="16" t="s">
        <v>63</v>
      </c>
      <c r="X6" s="16" t="s">
        <v>64</v>
      </c>
      <c r="Y6" s="41">
        <v>2739929.0</v>
      </c>
    </row>
    <row r="7">
      <c r="B7" s="37"/>
      <c r="C7" s="32" t="s">
        <v>49</v>
      </c>
      <c r="D7" s="38">
        <v>0.00570065</v>
      </c>
      <c r="E7" s="39">
        <f>(D6-D7)/D7</f>
        <v>0</v>
      </c>
      <c r="F7" s="32" t="s">
        <v>49</v>
      </c>
      <c r="G7" s="38">
        <v>556.245</v>
      </c>
      <c r="H7" s="40">
        <f>(G7-G6)/G6</f>
        <v>0</v>
      </c>
      <c r="I7" s="32" t="s">
        <v>49</v>
      </c>
      <c r="J7" s="38">
        <v>4115.0</v>
      </c>
      <c r="K7" s="39">
        <f>(J6-J7)/J7</f>
        <v>0</v>
      </c>
      <c r="L7" s="32" t="s">
        <v>49</v>
      </c>
      <c r="M7" s="38">
        <v>0.0987385</v>
      </c>
      <c r="N7" s="39">
        <f>(M6-M7)/M7</f>
        <v>0</v>
      </c>
      <c r="O7" s="32" t="s">
        <v>49</v>
      </c>
      <c r="P7" s="38">
        <v>11292.3</v>
      </c>
      <c r="Q7" s="39">
        <f>(P6-P7)/P7</f>
        <v>0</v>
      </c>
      <c r="R7" s="9"/>
    </row>
    <row r="8">
      <c r="B8" s="42"/>
      <c r="C8" s="32" t="s">
        <v>54</v>
      </c>
      <c r="D8" s="44">
        <v>0.00353767</v>
      </c>
      <c r="E8" s="39">
        <f>(D6-D8)/D8</f>
        <v>0.6114137271</v>
      </c>
      <c r="F8" s="32" t="s">
        <v>54</v>
      </c>
      <c r="G8" s="44">
        <v>537.245</v>
      </c>
      <c r="H8" s="40">
        <f>(G8-G6)/G6</f>
        <v>-0.03415761041</v>
      </c>
      <c r="I8" s="32" t="s">
        <v>54</v>
      </c>
      <c r="J8" s="44">
        <v>3648.93</v>
      </c>
      <c r="K8" s="39">
        <f>(J6-J8)/J8</f>
        <v>0.1277278545</v>
      </c>
      <c r="L8" s="32" t="s">
        <v>54</v>
      </c>
      <c r="M8" s="44">
        <v>0.0667941</v>
      </c>
      <c r="N8" s="39">
        <f>(M6-M8)/M8</f>
        <v>0.4782518216</v>
      </c>
      <c r="O8" s="32" t="s">
        <v>54</v>
      </c>
      <c r="P8" s="44">
        <v>7112.5</v>
      </c>
      <c r="Q8" s="39">
        <f>(P6-P8)/P8</f>
        <v>0.5876695958</v>
      </c>
      <c r="R8" s="45" t="s">
        <v>65</v>
      </c>
    </row>
    <row r="9">
      <c r="A9" s="16"/>
      <c r="B9" s="32" t="s">
        <v>55</v>
      </c>
      <c r="C9" s="33" t="s">
        <v>43</v>
      </c>
      <c r="D9" s="34">
        <v>0.01952</v>
      </c>
      <c r="E9" s="35"/>
      <c r="F9" s="33" t="s">
        <v>43</v>
      </c>
      <c r="G9" s="34">
        <v>411.4</v>
      </c>
      <c r="H9" s="36"/>
      <c r="I9" s="33" t="s">
        <v>43</v>
      </c>
      <c r="J9" s="34">
        <v>4138.0</v>
      </c>
      <c r="K9" s="35"/>
      <c r="L9" s="33" t="s">
        <v>43</v>
      </c>
      <c r="M9" s="34">
        <v>0.2011</v>
      </c>
      <c r="N9" s="35"/>
      <c r="O9" s="33" t="s">
        <v>43</v>
      </c>
      <c r="P9" s="34">
        <v>11329.0</v>
      </c>
      <c r="Q9" s="35"/>
      <c r="R9" s="9" t="s">
        <v>66</v>
      </c>
    </row>
    <row r="10">
      <c r="A10" s="16"/>
      <c r="B10" s="32"/>
      <c r="C10" s="32" t="s">
        <v>49</v>
      </c>
      <c r="D10" s="38">
        <v>0.019673</v>
      </c>
      <c r="E10" s="39">
        <f>(D10-D9)/D9</f>
        <v>0.007838114754</v>
      </c>
      <c r="F10" s="32" t="s">
        <v>49</v>
      </c>
      <c r="G10" s="38">
        <v>409.7</v>
      </c>
      <c r="H10" s="40">
        <f>(G10-G9)/G9</f>
        <v>-0.004132231405</v>
      </c>
      <c r="I10" s="32" t="s">
        <v>49</v>
      </c>
      <c r="J10" s="38">
        <v>4126.0</v>
      </c>
      <c r="K10" s="39">
        <f>(J10-J9)/J9</f>
        <v>-0.002899951667</v>
      </c>
      <c r="L10" s="32" t="s">
        <v>49</v>
      </c>
      <c r="M10" s="38">
        <v>0.2003</v>
      </c>
      <c r="N10" s="39">
        <f>(M10-M9)/M9</f>
        <v>-0.003978120338</v>
      </c>
      <c r="O10" s="32" t="s">
        <v>49</v>
      </c>
      <c r="P10" s="38">
        <v>11292.0</v>
      </c>
      <c r="Q10" s="39">
        <f>(P10-P9)/P9</f>
        <v>-0.00326595463</v>
      </c>
      <c r="R10" s="9" t="s">
        <v>67</v>
      </c>
    </row>
    <row r="11">
      <c r="A11" s="16"/>
      <c r="B11" s="46"/>
      <c r="C11" s="32" t="s">
        <v>54</v>
      </c>
      <c r="D11" s="43">
        <v>0.00220542</v>
      </c>
      <c r="E11" s="39">
        <f>(D11-D9)/D9</f>
        <v>-0.887017418</v>
      </c>
      <c r="F11" s="32" t="s">
        <v>54</v>
      </c>
      <c r="G11" s="43">
        <v>459.156</v>
      </c>
      <c r="H11" s="40">
        <f>(G11-G9)/G9</f>
        <v>0.1160816723</v>
      </c>
      <c r="I11" s="32" t="s">
        <v>54</v>
      </c>
      <c r="J11" s="43">
        <v>4606.03</v>
      </c>
      <c r="K11" s="39">
        <f>(J11-J9)/J9</f>
        <v>0.1131053649</v>
      </c>
      <c r="L11" s="32" t="s">
        <v>54</v>
      </c>
      <c r="M11" s="43">
        <v>0.224448</v>
      </c>
      <c r="N11" s="39">
        <f>(M11-M9)/M9</f>
        <v>0.1161014421</v>
      </c>
      <c r="O11" s="32" t="s">
        <v>54</v>
      </c>
      <c r="P11" s="43">
        <v>12620.8</v>
      </c>
      <c r="Q11" s="39">
        <f>(P11-P9)/P9</f>
        <v>0.1140259511</v>
      </c>
      <c r="R11" s="21" t="s">
        <v>68</v>
      </c>
    </row>
    <row r="12">
      <c r="A12" s="16"/>
      <c r="B12" s="32" t="s">
        <v>60</v>
      </c>
      <c r="C12" s="33" t="s">
        <v>43</v>
      </c>
      <c r="D12" s="34">
        <v>0.0169</v>
      </c>
      <c r="E12" s="35"/>
      <c r="F12" s="33" t="s">
        <v>43</v>
      </c>
      <c r="G12" s="34">
        <v>53.36</v>
      </c>
      <c r="H12" s="36"/>
      <c r="I12" s="33" t="s">
        <v>43</v>
      </c>
      <c r="J12" s="34">
        <v>872.0</v>
      </c>
      <c r="K12" s="35"/>
      <c r="L12" s="33" t="s">
        <v>43</v>
      </c>
      <c r="M12" s="34">
        <v>0.043</v>
      </c>
      <c r="N12" s="35"/>
      <c r="O12" s="33" t="s">
        <v>43</v>
      </c>
      <c r="P12" s="34">
        <v>9430.0</v>
      </c>
      <c r="Q12" s="35"/>
      <c r="R12" s="9" t="s">
        <v>29</v>
      </c>
    </row>
    <row r="13">
      <c r="A13" s="16"/>
      <c r="B13" s="5"/>
      <c r="C13" s="32" t="s">
        <v>49</v>
      </c>
      <c r="D13" s="38">
        <v>0.01684</v>
      </c>
      <c r="E13" s="39">
        <f>(D13-D12)/D12</f>
        <v>-0.003550295858</v>
      </c>
      <c r="F13" s="32" t="s">
        <v>49</v>
      </c>
      <c r="G13" s="38">
        <v>53.46</v>
      </c>
      <c r="H13" s="40">
        <f>(G13-G12)/G12</f>
        <v>0.001874062969</v>
      </c>
      <c r="I13" s="32" t="s">
        <v>49</v>
      </c>
      <c r="J13" s="38">
        <v>886.0</v>
      </c>
      <c r="K13" s="39">
        <f>(J13-J12)/J12</f>
        <v>0.01605504587</v>
      </c>
      <c r="L13" s="32" t="s">
        <v>49</v>
      </c>
      <c r="M13" s="38">
        <v>0.0429</v>
      </c>
      <c r="N13" s="39">
        <f>(M13-M12)/M12</f>
        <v>-0.002325581395</v>
      </c>
      <c r="O13" s="32" t="s">
        <v>49</v>
      </c>
      <c r="P13" s="38">
        <v>9402.0</v>
      </c>
      <c r="Q13" s="39">
        <f>(P13-P12)/P12</f>
        <v>-0.002969247084</v>
      </c>
      <c r="R13" s="9" t="s">
        <v>32</v>
      </c>
    </row>
    <row r="14">
      <c r="B14" s="18"/>
      <c r="C14" s="46" t="s">
        <v>54</v>
      </c>
      <c r="D14" s="43">
        <v>0.00200645</v>
      </c>
      <c r="E14" s="47">
        <f>(D14-D12)/D12</f>
        <v>-0.8812751479</v>
      </c>
      <c r="F14" s="46" t="s">
        <v>54</v>
      </c>
      <c r="G14" s="43">
        <v>5.98055</v>
      </c>
      <c r="H14" s="48">
        <f>(G14-G12)/G12</f>
        <v>-0.8879207271</v>
      </c>
      <c r="I14" s="46" t="s">
        <v>54</v>
      </c>
      <c r="J14" s="43">
        <v>84.4212</v>
      </c>
      <c r="K14" s="47">
        <f>(J14-J12)/J12</f>
        <v>-0.9031866972</v>
      </c>
      <c r="L14" s="46" t="s">
        <v>54</v>
      </c>
      <c r="M14" s="43">
        <v>0.00504961</v>
      </c>
      <c r="N14" s="47">
        <f>(M14-M12)/M12</f>
        <v>-0.8825672093</v>
      </c>
      <c r="O14" s="46" t="s">
        <v>54</v>
      </c>
      <c r="P14" s="43">
        <v>1104.61</v>
      </c>
      <c r="Q14" s="47">
        <f>(P14-P12)/P12</f>
        <v>-0.8828621421</v>
      </c>
      <c r="R14" s="21" t="s">
        <v>69</v>
      </c>
    </row>
    <row r="15">
      <c r="L15" s="16"/>
      <c r="M15" s="16"/>
      <c r="N15" s="16"/>
      <c r="O15" s="22"/>
      <c r="P15" s="22"/>
      <c r="Q15" s="22"/>
      <c r="R15" s="2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C2:E2"/>
    <mergeCell ref="F2:H2"/>
    <mergeCell ref="I2:K2"/>
    <mergeCell ref="L2:N2"/>
    <mergeCell ref="O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86"/>
    <col customWidth="1" min="8" max="8" width="17.29"/>
  </cols>
  <sheetData>
    <row r="1">
      <c r="B1" s="49"/>
    </row>
    <row r="2">
      <c r="B2" s="50" t="s">
        <v>0</v>
      </c>
      <c r="C2" s="51" t="s">
        <v>1</v>
      </c>
      <c r="D2" s="52" t="s">
        <v>2</v>
      </c>
      <c r="E2" s="52" t="s">
        <v>3</v>
      </c>
      <c r="F2" s="51" t="s">
        <v>4</v>
      </c>
      <c r="G2" s="51" t="s">
        <v>5</v>
      </c>
      <c r="H2" s="51" t="s">
        <v>6</v>
      </c>
    </row>
    <row r="3">
      <c r="B3" s="9" t="s">
        <v>13</v>
      </c>
      <c r="C3" s="5" t="s">
        <v>14</v>
      </c>
      <c r="D3" s="16">
        <v>13.6</v>
      </c>
      <c r="E3" s="5">
        <v>7.19477</v>
      </c>
      <c r="F3" s="5" t="s">
        <v>70</v>
      </c>
      <c r="G3" s="17">
        <f t="shared" ref="G3:G21" si="1">(E3-D3)/D3</f>
        <v>-0.4709727941</v>
      </c>
      <c r="H3" s="9" t="s">
        <v>71</v>
      </c>
    </row>
    <row r="4">
      <c r="B4" s="9" t="s">
        <v>72</v>
      </c>
      <c r="C4" s="5" t="s">
        <v>14</v>
      </c>
      <c r="D4" s="5">
        <v>0.6</v>
      </c>
      <c r="E4" s="5">
        <v>0.138781</v>
      </c>
      <c r="F4" s="5" t="s">
        <v>70</v>
      </c>
      <c r="G4" s="15">
        <f t="shared" si="1"/>
        <v>-0.7686983333</v>
      </c>
      <c r="H4" s="9"/>
    </row>
    <row r="5">
      <c r="B5" s="9" t="s">
        <v>73</v>
      </c>
      <c r="C5" s="5" t="s">
        <v>14</v>
      </c>
      <c r="D5" s="5">
        <v>2.5</v>
      </c>
      <c r="E5" s="5">
        <v>3.458</v>
      </c>
      <c r="F5" s="5" t="s">
        <v>70</v>
      </c>
      <c r="G5" s="15">
        <f t="shared" si="1"/>
        <v>0.3832</v>
      </c>
      <c r="H5" s="9"/>
    </row>
    <row r="6">
      <c r="B6" s="9" t="s">
        <v>74</v>
      </c>
      <c r="C6" s="5" t="s">
        <v>75</v>
      </c>
      <c r="D6" s="5">
        <v>2.88</v>
      </c>
      <c r="E6" s="5">
        <v>2.95713</v>
      </c>
      <c r="F6" s="5" t="s">
        <v>70</v>
      </c>
      <c r="G6" s="15">
        <f t="shared" si="1"/>
        <v>0.02678125</v>
      </c>
      <c r="H6" s="9"/>
    </row>
    <row r="7">
      <c r="B7" s="9" t="s">
        <v>76</v>
      </c>
      <c r="C7" s="5" t="s">
        <v>14</v>
      </c>
      <c r="D7" s="16">
        <v>1.5</v>
      </c>
      <c r="E7" s="5">
        <v>1.47856</v>
      </c>
      <c r="F7" s="5" t="s">
        <v>77</v>
      </c>
      <c r="G7" s="15">
        <f t="shared" si="1"/>
        <v>-0.01429333333</v>
      </c>
      <c r="H7" s="9"/>
    </row>
    <row r="8">
      <c r="B8" s="9" t="s">
        <v>78</v>
      </c>
      <c r="C8" s="5" t="s">
        <v>14</v>
      </c>
      <c r="D8" s="16">
        <v>2.06</v>
      </c>
      <c r="E8" s="5">
        <v>2.6156</v>
      </c>
      <c r="F8" s="5" t="s">
        <v>70</v>
      </c>
      <c r="G8" s="15">
        <f t="shared" si="1"/>
        <v>0.2697087379</v>
      </c>
      <c r="H8" s="9"/>
    </row>
    <row r="9">
      <c r="B9" s="9" t="s">
        <v>17</v>
      </c>
      <c r="C9" s="5" t="s">
        <v>14</v>
      </c>
      <c r="D9" s="16">
        <v>3.59</v>
      </c>
      <c r="E9" s="5">
        <v>2.66752</v>
      </c>
      <c r="F9" s="5" t="s">
        <v>70</v>
      </c>
      <c r="G9" s="15">
        <f t="shared" si="1"/>
        <v>-0.2569582173</v>
      </c>
      <c r="H9" s="9"/>
    </row>
    <row r="10">
      <c r="B10" s="9" t="s">
        <v>79</v>
      </c>
      <c r="C10" s="5" t="s">
        <v>75</v>
      </c>
      <c r="D10" s="5">
        <v>2.484</v>
      </c>
      <c r="E10" s="5">
        <v>2.0714</v>
      </c>
      <c r="F10" s="5" t="s">
        <v>70</v>
      </c>
      <c r="G10" s="15">
        <f t="shared" si="1"/>
        <v>-0.1661030596</v>
      </c>
      <c r="H10" s="9"/>
    </row>
    <row r="11">
      <c r="B11" s="9" t="s">
        <v>80</v>
      </c>
      <c r="C11" s="5" t="s">
        <v>81</v>
      </c>
      <c r="D11" s="5">
        <f>500*0.029</f>
        <v>14.5</v>
      </c>
      <c r="E11" s="5">
        <v>21.1</v>
      </c>
      <c r="F11" s="5" t="s">
        <v>70</v>
      </c>
      <c r="G11" s="17">
        <f t="shared" si="1"/>
        <v>0.4551724138</v>
      </c>
      <c r="H11" s="9" t="s">
        <v>82</v>
      </c>
    </row>
    <row r="12">
      <c r="B12" s="9" t="s">
        <v>83</v>
      </c>
      <c r="C12" s="5" t="s">
        <v>14</v>
      </c>
      <c r="D12" s="5">
        <v>0.0457</v>
      </c>
      <c r="E12" s="5">
        <v>0.00671166</v>
      </c>
      <c r="F12" s="5" t="s">
        <v>84</v>
      </c>
      <c r="G12" s="15">
        <f t="shared" si="1"/>
        <v>-0.8531365427</v>
      </c>
      <c r="H12" s="9" t="s">
        <v>85</v>
      </c>
    </row>
    <row r="13">
      <c r="B13" s="9" t="s">
        <v>86</v>
      </c>
      <c r="C13" s="5" t="s">
        <v>14</v>
      </c>
      <c r="D13" s="5">
        <v>0.129</v>
      </c>
      <c r="E13" s="5">
        <v>0.127156</v>
      </c>
      <c r="F13" s="5" t="s">
        <v>70</v>
      </c>
      <c r="G13" s="15">
        <f t="shared" si="1"/>
        <v>-0.01429457364</v>
      </c>
      <c r="H13" s="9"/>
    </row>
    <row r="14">
      <c r="B14" s="9" t="s">
        <v>87</v>
      </c>
      <c r="C14" s="5" t="s">
        <v>14</v>
      </c>
      <c r="D14" s="5">
        <v>2.88</v>
      </c>
      <c r="E14" s="5">
        <v>2.83884</v>
      </c>
      <c r="F14" s="5" t="s">
        <v>70</v>
      </c>
      <c r="G14" s="15">
        <f t="shared" si="1"/>
        <v>-0.01429166667</v>
      </c>
      <c r="H14" s="9"/>
    </row>
    <row r="15">
      <c r="B15" s="9" t="s">
        <v>88</v>
      </c>
      <c r="C15" s="5" t="s">
        <v>10</v>
      </c>
      <c r="D15" s="5">
        <v>0.75</v>
      </c>
      <c r="E15" s="5">
        <v>1.5561</v>
      </c>
      <c r="F15" s="5" t="s">
        <v>70</v>
      </c>
      <c r="G15" s="15">
        <f t="shared" si="1"/>
        <v>1.0748</v>
      </c>
      <c r="H15" s="9" t="s">
        <v>89</v>
      </c>
      <c r="J15" s="53"/>
      <c r="K15" s="54"/>
      <c r="L15" s="54"/>
      <c r="M15" s="54"/>
      <c r="N15" s="54"/>
      <c r="O15" s="54"/>
    </row>
    <row r="16">
      <c r="B16" s="9" t="s">
        <v>90</v>
      </c>
      <c r="C16" s="5" t="s">
        <v>14</v>
      </c>
      <c r="D16" s="16">
        <v>3.59</v>
      </c>
      <c r="E16" s="5">
        <v>2.6156</v>
      </c>
      <c r="F16" s="5"/>
      <c r="G16" s="15">
        <f t="shared" si="1"/>
        <v>-0.2714206128</v>
      </c>
      <c r="H16" s="9" t="s">
        <v>91</v>
      </c>
      <c r="J16" s="54"/>
    </row>
    <row r="17">
      <c r="B17" s="9" t="s">
        <v>21</v>
      </c>
      <c r="C17" s="5" t="s">
        <v>14</v>
      </c>
      <c r="D17" s="16">
        <v>13.6</v>
      </c>
      <c r="E17" s="5">
        <v>22.2105</v>
      </c>
      <c r="F17" s="5" t="s">
        <v>70</v>
      </c>
      <c r="G17" s="15">
        <f t="shared" si="1"/>
        <v>0.633125</v>
      </c>
      <c r="H17" s="9" t="s">
        <v>92</v>
      </c>
      <c r="J17" s="54"/>
    </row>
    <row r="18">
      <c r="B18" s="9" t="s">
        <v>23</v>
      </c>
      <c r="C18" s="5" t="s">
        <v>14</v>
      </c>
      <c r="D18" s="5">
        <v>20.7</v>
      </c>
      <c r="E18" s="5">
        <v>5.06001</v>
      </c>
      <c r="F18" s="5" t="s">
        <v>70</v>
      </c>
      <c r="G18" s="15">
        <f t="shared" si="1"/>
        <v>-0.7555550725</v>
      </c>
      <c r="H18" s="55"/>
      <c r="J18" s="54"/>
    </row>
    <row r="19">
      <c r="B19" s="9" t="s">
        <v>93</v>
      </c>
      <c r="C19" s="5" t="s">
        <v>14</v>
      </c>
      <c r="D19" s="5">
        <v>2.88</v>
      </c>
      <c r="E19" s="5">
        <v>2.95713</v>
      </c>
      <c r="F19" s="5" t="s">
        <v>70</v>
      </c>
      <c r="G19" s="15">
        <f t="shared" si="1"/>
        <v>0.02678125</v>
      </c>
      <c r="H19" s="9"/>
      <c r="J19" s="54"/>
    </row>
    <row r="20">
      <c r="B20" s="9" t="s">
        <v>94</v>
      </c>
      <c r="C20" s="5" t="s">
        <v>14</v>
      </c>
      <c r="D20" s="5">
        <v>0.069</v>
      </c>
      <c r="E20" s="5">
        <v>0.0680139</v>
      </c>
      <c r="F20" s="5" t="s">
        <v>70</v>
      </c>
      <c r="G20" s="15">
        <f t="shared" si="1"/>
        <v>-0.01429130435</v>
      </c>
      <c r="H20" s="9"/>
      <c r="J20" s="54"/>
    </row>
    <row r="21">
      <c r="B21" s="21" t="s">
        <v>33</v>
      </c>
      <c r="C21" s="19" t="s">
        <v>14</v>
      </c>
      <c r="D21" s="56">
        <v>0.85</v>
      </c>
      <c r="E21" s="19">
        <v>0.882068</v>
      </c>
      <c r="F21" s="19" t="s">
        <v>95</v>
      </c>
      <c r="G21" s="20">
        <f t="shared" si="1"/>
        <v>0.03772705882</v>
      </c>
      <c r="H21" s="21"/>
      <c r="J21" s="54"/>
    </row>
    <row r="22">
      <c r="B22" s="49"/>
      <c r="J22" s="54"/>
      <c r="O22" s="57"/>
    </row>
    <row r="23">
      <c r="B23" s="49"/>
      <c r="J23" s="54"/>
    </row>
    <row r="24">
      <c r="J24" s="54"/>
      <c r="O24" s="57"/>
    </row>
    <row r="25">
      <c r="J25" s="54"/>
    </row>
    <row r="26">
      <c r="J26" s="54"/>
    </row>
    <row r="27">
      <c r="J27" s="54"/>
    </row>
    <row r="28">
      <c r="J28" s="54"/>
      <c r="O28" s="57"/>
    </row>
    <row r="29">
      <c r="J29" s="54"/>
      <c r="O29" s="57"/>
    </row>
    <row r="30">
      <c r="J30" s="54"/>
    </row>
    <row r="31">
      <c r="J31" s="54"/>
    </row>
    <row r="32">
      <c r="J32" s="54"/>
    </row>
    <row r="33">
      <c r="J33" s="54"/>
    </row>
  </sheetData>
  <mergeCells count="1">
    <mergeCell ref="H17:H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0"/>
  </cols>
  <sheetData>
    <row r="4">
      <c r="J4" s="53"/>
      <c r="K4" s="54"/>
      <c r="L4" s="54"/>
      <c r="M4" s="54"/>
      <c r="N4" s="54"/>
      <c r="O4" s="54"/>
    </row>
    <row r="5">
      <c r="J5" s="54"/>
    </row>
    <row r="6">
      <c r="J6" s="54"/>
    </row>
    <row r="7">
      <c r="J7" s="54"/>
    </row>
    <row r="8">
      <c r="J8" s="54"/>
    </row>
    <row r="9">
      <c r="J9" s="54"/>
    </row>
    <row r="10">
      <c r="J10" s="54"/>
    </row>
    <row r="11">
      <c r="J11" s="54"/>
      <c r="O11" s="57"/>
    </row>
    <row r="12">
      <c r="J12" s="54"/>
    </row>
    <row r="13">
      <c r="J13" s="54"/>
    </row>
    <row r="14">
      <c r="J14" s="54"/>
    </row>
    <row r="15">
      <c r="J15" s="54"/>
      <c r="O15" s="57"/>
    </row>
    <row r="16">
      <c r="J16" s="54"/>
    </row>
    <row r="17">
      <c r="J17" s="54"/>
    </row>
    <row r="18">
      <c r="J18" s="54"/>
    </row>
    <row r="19">
      <c r="J19" s="54"/>
    </row>
    <row r="20">
      <c r="B20" s="49"/>
    </row>
    <row r="21">
      <c r="B21" s="49"/>
    </row>
    <row r="22">
      <c r="B22" s="49"/>
    </row>
    <row r="23">
      <c r="B23" s="49"/>
    </row>
    <row r="24">
      <c r="B24" s="49"/>
    </row>
    <row r="25">
      <c r="B25" s="49"/>
    </row>
    <row r="26">
      <c r="B26" s="49"/>
    </row>
    <row r="27">
      <c r="B27" s="49"/>
    </row>
    <row r="28">
      <c r="B28" s="49"/>
    </row>
    <row r="29">
      <c r="B29" s="49"/>
    </row>
    <row r="30">
      <c r="B30" s="49"/>
    </row>
    <row r="31">
      <c r="B31" s="49"/>
    </row>
    <row r="32">
      <c r="B32" s="49"/>
    </row>
    <row r="33">
      <c r="B33" s="49"/>
    </row>
    <row r="34">
      <c r="B34" s="49"/>
    </row>
    <row r="35">
      <c r="B35" s="49"/>
    </row>
    <row r="36">
      <c r="B36" s="49"/>
    </row>
    <row r="37">
      <c r="B37" s="49"/>
    </row>
    <row r="38">
      <c r="B38" s="49"/>
    </row>
    <row r="39">
      <c r="B39" s="49"/>
    </row>
    <row r="40">
      <c r="B40" s="49"/>
    </row>
    <row r="41">
      <c r="B41" s="49"/>
    </row>
    <row r="42">
      <c r="B42" s="49"/>
    </row>
    <row r="43">
      <c r="B43" s="49"/>
    </row>
    <row r="44">
      <c r="B44" s="49"/>
    </row>
    <row r="45">
      <c r="B45" s="49"/>
    </row>
    <row r="46">
      <c r="B46" s="49"/>
    </row>
    <row r="47">
      <c r="B47" s="49"/>
    </row>
    <row r="48">
      <c r="B48" s="49"/>
    </row>
    <row r="49">
      <c r="B49" s="49"/>
    </row>
    <row r="50">
      <c r="B50" s="49"/>
    </row>
    <row r="51">
      <c r="B51" s="49"/>
    </row>
    <row r="52">
      <c r="B52" s="49"/>
    </row>
    <row r="53">
      <c r="B53" s="49"/>
    </row>
    <row r="54">
      <c r="B54" s="49"/>
    </row>
    <row r="55">
      <c r="B55" s="49"/>
    </row>
    <row r="56">
      <c r="B56" s="49"/>
    </row>
    <row r="57">
      <c r="B57" s="49"/>
    </row>
    <row r="58">
      <c r="B58" s="49"/>
    </row>
    <row r="59">
      <c r="B59" s="49"/>
    </row>
    <row r="60">
      <c r="B60" s="49"/>
    </row>
    <row r="61">
      <c r="B61" s="49"/>
    </row>
    <row r="62">
      <c r="B62" s="49"/>
    </row>
    <row r="63">
      <c r="B63" s="49"/>
    </row>
    <row r="64">
      <c r="B64" s="49"/>
    </row>
    <row r="65">
      <c r="B65" s="49"/>
    </row>
    <row r="66">
      <c r="B66" s="49"/>
    </row>
    <row r="67">
      <c r="B67" s="49"/>
    </row>
    <row r="68">
      <c r="B68" s="49"/>
    </row>
    <row r="69">
      <c r="B69" s="49"/>
    </row>
    <row r="70">
      <c r="B70" s="49"/>
    </row>
    <row r="71">
      <c r="B71" s="49"/>
    </row>
    <row r="72">
      <c r="B72" s="49"/>
    </row>
    <row r="73">
      <c r="B73" s="49"/>
    </row>
    <row r="74">
      <c r="B74" s="49"/>
    </row>
    <row r="75">
      <c r="B75" s="49"/>
    </row>
    <row r="76">
      <c r="B76" s="49"/>
    </row>
    <row r="77">
      <c r="B77" s="49"/>
    </row>
    <row r="78">
      <c r="B78" s="49"/>
    </row>
    <row r="79">
      <c r="B79" s="49"/>
    </row>
    <row r="80">
      <c r="B80" s="49"/>
    </row>
    <row r="81">
      <c r="B81" s="49"/>
    </row>
    <row r="82">
      <c r="B82" s="49"/>
    </row>
    <row r="83">
      <c r="B83" s="49"/>
    </row>
    <row r="84">
      <c r="B84" s="49"/>
    </row>
    <row r="85">
      <c r="B85" s="49"/>
    </row>
    <row r="86">
      <c r="B86" s="49"/>
    </row>
    <row r="87">
      <c r="B87" s="49"/>
    </row>
    <row r="88">
      <c r="B88" s="49"/>
    </row>
    <row r="89">
      <c r="B89" s="49"/>
    </row>
    <row r="90">
      <c r="B90" s="49"/>
    </row>
    <row r="91">
      <c r="B91" s="49"/>
    </row>
    <row r="92">
      <c r="B92" s="49"/>
    </row>
    <row r="93">
      <c r="B93" s="49"/>
    </row>
    <row r="94">
      <c r="B94" s="49"/>
    </row>
    <row r="95">
      <c r="B95" s="49"/>
    </row>
    <row r="96">
      <c r="B96" s="49"/>
    </row>
    <row r="97">
      <c r="B97" s="49"/>
    </row>
    <row r="98">
      <c r="B98" s="49"/>
    </row>
    <row r="99">
      <c r="B99" s="49"/>
    </row>
    <row r="100">
      <c r="B100" s="49"/>
    </row>
    <row r="101">
      <c r="B101" s="49"/>
    </row>
    <row r="102">
      <c r="B102" s="49"/>
    </row>
    <row r="103">
      <c r="B103" s="49"/>
    </row>
    <row r="104">
      <c r="B104" s="49"/>
    </row>
    <row r="105">
      <c r="B105" s="49"/>
    </row>
    <row r="106">
      <c r="B106" s="49"/>
    </row>
    <row r="107">
      <c r="B107" s="49"/>
    </row>
    <row r="108">
      <c r="B108" s="49"/>
    </row>
    <row r="109">
      <c r="B109" s="49"/>
    </row>
    <row r="110">
      <c r="B110" s="49"/>
    </row>
    <row r="111">
      <c r="B111" s="49"/>
    </row>
    <row r="112">
      <c r="B112" s="49"/>
    </row>
    <row r="113">
      <c r="B113" s="49"/>
    </row>
    <row r="114">
      <c r="B114" s="49"/>
    </row>
    <row r="115">
      <c r="B115" s="49"/>
    </row>
    <row r="116">
      <c r="B116" s="49"/>
    </row>
    <row r="117">
      <c r="B117" s="49"/>
    </row>
    <row r="118">
      <c r="B118" s="49"/>
    </row>
    <row r="119">
      <c r="B119" s="49"/>
    </row>
    <row r="120">
      <c r="B120" s="49"/>
    </row>
    <row r="121">
      <c r="B121" s="49"/>
    </row>
    <row r="122">
      <c r="B122" s="49"/>
    </row>
    <row r="123">
      <c r="B123" s="49"/>
    </row>
    <row r="124">
      <c r="B124" s="49"/>
    </row>
    <row r="125">
      <c r="B125" s="49"/>
    </row>
    <row r="126">
      <c r="B126" s="49"/>
    </row>
    <row r="127">
      <c r="B127" s="49"/>
    </row>
    <row r="128">
      <c r="B128" s="49"/>
    </row>
    <row r="129">
      <c r="B129" s="49"/>
    </row>
    <row r="130">
      <c r="B130" s="49"/>
    </row>
    <row r="131">
      <c r="B131" s="49"/>
    </row>
    <row r="132">
      <c r="B132" s="49"/>
    </row>
    <row r="133">
      <c r="B133" s="49"/>
    </row>
    <row r="134">
      <c r="B134" s="49"/>
    </row>
    <row r="135">
      <c r="B135" s="49"/>
    </row>
    <row r="136">
      <c r="B136" s="49"/>
    </row>
    <row r="137">
      <c r="B137" s="49"/>
    </row>
    <row r="138">
      <c r="B138" s="49"/>
    </row>
    <row r="139">
      <c r="B139" s="49"/>
    </row>
    <row r="140">
      <c r="B140" s="49"/>
    </row>
    <row r="141">
      <c r="B141" s="49"/>
    </row>
    <row r="142">
      <c r="B142" s="49"/>
    </row>
    <row r="143">
      <c r="B143" s="49"/>
    </row>
    <row r="144">
      <c r="B144" s="49"/>
    </row>
    <row r="145">
      <c r="B145" s="49"/>
    </row>
    <row r="146">
      <c r="B146" s="49"/>
    </row>
    <row r="147">
      <c r="B147" s="49"/>
    </row>
    <row r="148">
      <c r="B148" s="49"/>
    </row>
    <row r="149">
      <c r="B149" s="49"/>
    </row>
    <row r="150">
      <c r="B150" s="49"/>
    </row>
    <row r="151">
      <c r="B151" s="49"/>
    </row>
    <row r="152">
      <c r="B152" s="49"/>
    </row>
    <row r="153">
      <c r="B153" s="49"/>
    </row>
    <row r="154">
      <c r="B154" s="49"/>
    </row>
    <row r="155">
      <c r="B155" s="49"/>
    </row>
    <row r="156">
      <c r="B156" s="49"/>
    </row>
    <row r="157">
      <c r="B157" s="49"/>
    </row>
    <row r="158">
      <c r="B158" s="49"/>
    </row>
    <row r="159">
      <c r="B159" s="49"/>
    </row>
    <row r="160">
      <c r="B160" s="49"/>
    </row>
    <row r="161">
      <c r="B161" s="49"/>
    </row>
    <row r="162">
      <c r="B162" s="49"/>
    </row>
    <row r="163">
      <c r="B163" s="49"/>
    </row>
    <row r="164">
      <c r="B164" s="49"/>
    </row>
    <row r="165">
      <c r="B165" s="49"/>
    </row>
    <row r="166">
      <c r="B166" s="49"/>
    </row>
    <row r="167">
      <c r="B167" s="49"/>
    </row>
    <row r="168">
      <c r="B168" s="49"/>
    </row>
    <row r="169">
      <c r="B169" s="49"/>
    </row>
    <row r="170">
      <c r="B170" s="49"/>
    </row>
    <row r="171">
      <c r="B171" s="49"/>
    </row>
    <row r="172">
      <c r="B172" s="49"/>
    </row>
    <row r="173">
      <c r="B173" s="49"/>
    </row>
    <row r="174">
      <c r="B174" s="49"/>
    </row>
    <row r="175">
      <c r="B175" s="49"/>
    </row>
    <row r="176">
      <c r="B176" s="49"/>
    </row>
    <row r="177">
      <c r="B177" s="49"/>
    </row>
    <row r="178">
      <c r="B178" s="49"/>
    </row>
    <row r="179">
      <c r="B179" s="49"/>
    </row>
    <row r="180">
      <c r="B180" s="49"/>
    </row>
    <row r="181">
      <c r="B181" s="49"/>
    </row>
    <row r="182">
      <c r="B182" s="49"/>
    </row>
    <row r="183">
      <c r="B183" s="49"/>
    </row>
    <row r="184">
      <c r="B184" s="49"/>
    </row>
    <row r="185">
      <c r="B185" s="49"/>
    </row>
    <row r="186">
      <c r="B186" s="49"/>
    </row>
    <row r="187">
      <c r="B187" s="49"/>
    </row>
    <row r="188">
      <c r="B188" s="49"/>
    </row>
    <row r="189">
      <c r="B189" s="49"/>
    </row>
    <row r="190">
      <c r="B190" s="49"/>
    </row>
    <row r="191">
      <c r="B191" s="49"/>
    </row>
    <row r="192">
      <c r="B192" s="49"/>
    </row>
    <row r="193">
      <c r="B193" s="49"/>
    </row>
    <row r="194">
      <c r="B194" s="49"/>
    </row>
    <row r="195">
      <c r="B195" s="49"/>
    </row>
    <row r="196">
      <c r="B196" s="49"/>
    </row>
    <row r="197">
      <c r="B197" s="49"/>
    </row>
    <row r="198">
      <c r="B198" s="49"/>
    </row>
    <row r="199">
      <c r="B199" s="49"/>
    </row>
    <row r="200">
      <c r="B200" s="49"/>
    </row>
    <row r="201">
      <c r="B201" s="49"/>
    </row>
    <row r="202">
      <c r="B202" s="49"/>
    </row>
    <row r="203">
      <c r="B203" s="49"/>
    </row>
    <row r="204">
      <c r="B204" s="49"/>
    </row>
    <row r="205">
      <c r="B205" s="49"/>
    </row>
    <row r="206">
      <c r="B206" s="49"/>
    </row>
    <row r="207">
      <c r="B207" s="49"/>
    </row>
    <row r="208">
      <c r="B208" s="49"/>
    </row>
    <row r="209">
      <c r="B209" s="49"/>
    </row>
    <row r="210">
      <c r="B210" s="49"/>
    </row>
    <row r="211">
      <c r="B211" s="49"/>
    </row>
    <row r="212">
      <c r="B212" s="49"/>
    </row>
    <row r="213">
      <c r="B213" s="49"/>
    </row>
    <row r="214">
      <c r="B214" s="49"/>
    </row>
    <row r="215">
      <c r="B215" s="49"/>
    </row>
    <row r="216">
      <c r="B216" s="49"/>
    </row>
    <row r="217">
      <c r="B217" s="49"/>
    </row>
    <row r="218">
      <c r="B218" s="49"/>
    </row>
    <row r="219">
      <c r="B219" s="49"/>
    </row>
    <row r="220">
      <c r="B220" s="49"/>
    </row>
    <row r="221">
      <c r="B221" s="49"/>
    </row>
    <row r="222">
      <c r="B222" s="49"/>
    </row>
    <row r="223">
      <c r="B223" s="49"/>
    </row>
    <row r="224">
      <c r="B224" s="49"/>
    </row>
    <row r="225">
      <c r="B225" s="49"/>
    </row>
    <row r="226">
      <c r="B226" s="49"/>
    </row>
    <row r="227">
      <c r="B227" s="49"/>
    </row>
    <row r="228">
      <c r="B228" s="49"/>
    </row>
    <row r="229">
      <c r="B229" s="49"/>
    </row>
    <row r="230">
      <c r="B230" s="49"/>
    </row>
    <row r="231">
      <c r="B231" s="49"/>
    </row>
    <row r="232">
      <c r="B232" s="49"/>
    </row>
    <row r="233">
      <c r="B233" s="49"/>
    </row>
    <row r="234">
      <c r="B234" s="49"/>
    </row>
    <row r="235">
      <c r="B235" s="49"/>
    </row>
    <row r="236">
      <c r="B236" s="49"/>
    </row>
    <row r="237">
      <c r="B237" s="49"/>
    </row>
    <row r="238">
      <c r="B238" s="49"/>
    </row>
    <row r="239">
      <c r="B239" s="49"/>
    </row>
    <row r="240">
      <c r="B240" s="49"/>
    </row>
    <row r="241">
      <c r="B241" s="49"/>
    </row>
    <row r="242">
      <c r="B242" s="49"/>
    </row>
    <row r="243">
      <c r="B243" s="49"/>
    </row>
    <row r="244">
      <c r="B244" s="49"/>
    </row>
    <row r="245">
      <c r="B245" s="49"/>
    </row>
    <row r="246">
      <c r="B246" s="49"/>
    </row>
    <row r="247">
      <c r="B247" s="49"/>
    </row>
    <row r="248">
      <c r="B248" s="49"/>
    </row>
    <row r="249">
      <c r="B249" s="49"/>
    </row>
    <row r="250">
      <c r="B250" s="49"/>
    </row>
    <row r="251">
      <c r="B251" s="49"/>
    </row>
    <row r="252">
      <c r="B252" s="49"/>
    </row>
    <row r="253">
      <c r="B253" s="49"/>
    </row>
    <row r="254">
      <c r="B254" s="49"/>
    </row>
    <row r="255">
      <c r="B255" s="49"/>
    </row>
    <row r="256">
      <c r="B256" s="49"/>
    </row>
    <row r="257">
      <c r="B257" s="49"/>
    </row>
    <row r="258">
      <c r="B258" s="49"/>
    </row>
    <row r="259">
      <c r="B259" s="49"/>
    </row>
    <row r="260">
      <c r="B260" s="49"/>
    </row>
    <row r="261">
      <c r="B261" s="49"/>
    </row>
    <row r="262">
      <c r="B262" s="49"/>
    </row>
    <row r="263">
      <c r="B263" s="49"/>
    </row>
    <row r="264">
      <c r="B264" s="49"/>
    </row>
    <row r="265">
      <c r="B265" s="49"/>
    </row>
    <row r="266">
      <c r="B266" s="49"/>
    </row>
    <row r="267">
      <c r="B267" s="49"/>
    </row>
    <row r="268">
      <c r="B268" s="49"/>
    </row>
    <row r="269">
      <c r="B269" s="49"/>
    </row>
    <row r="270">
      <c r="B270" s="49"/>
    </row>
    <row r="271">
      <c r="B271" s="49"/>
    </row>
    <row r="272">
      <c r="B272" s="49"/>
    </row>
    <row r="273">
      <c r="B273" s="49"/>
    </row>
    <row r="274">
      <c r="B274" s="49"/>
    </row>
    <row r="275">
      <c r="B275" s="49"/>
    </row>
    <row r="276">
      <c r="B276" s="49"/>
    </row>
    <row r="277">
      <c r="B277" s="49"/>
    </row>
    <row r="278">
      <c r="B278" s="49"/>
    </row>
    <row r="279">
      <c r="B279" s="49"/>
    </row>
    <row r="280">
      <c r="B280" s="49"/>
    </row>
    <row r="281">
      <c r="B281" s="49"/>
    </row>
    <row r="282">
      <c r="B282" s="49"/>
    </row>
    <row r="283">
      <c r="B283" s="49"/>
    </row>
    <row r="284">
      <c r="B284" s="49"/>
    </row>
    <row r="285">
      <c r="B285" s="49"/>
    </row>
    <row r="286">
      <c r="B286" s="49"/>
    </row>
    <row r="287">
      <c r="B287" s="49"/>
    </row>
    <row r="288">
      <c r="B288" s="49"/>
    </row>
    <row r="289">
      <c r="B289" s="49"/>
    </row>
    <row r="290">
      <c r="B290" s="49"/>
    </row>
    <row r="291">
      <c r="B291" s="49"/>
    </row>
    <row r="292">
      <c r="B292" s="49"/>
    </row>
    <row r="293">
      <c r="B293" s="49"/>
    </row>
    <row r="294">
      <c r="B294" s="49"/>
    </row>
    <row r="295">
      <c r="B295" s="49"/>
    </row>
    <row r="296">
      <c r="B296" s="49"/>
    </row>
    <row r="297">
      <c r="B297" s="49"/>
    </row>
    <row r="298">
      <c r="B298" s="49"/>
    </row>
    <row r="299">
      <c r="B299" s="49"/>
    </row>
    <row r="300">
      <c r="B300" s="49"/>
    </row>
    <row r="301">
      <c r="B301" s="49"/>
    </row>
    <row r="302">
      <c r="B302" s="49"/>
    </row>
    <row r="303">
      <c r="B303" s="49"/>
    </row>
    <row r="304">
      <c r="B304" s="49"/>
    </row>
    <row r="305">
      <c r="B305" s="49"/>
    </row>
    <row r="306">
      <c r="B306" s="49"/>
    </row>
    <row r="307">
      <c r="B307" s="49"/>
    </row>
    <row r="308">
      <c r="B308" s="49"/>
    </row>
    <row r="309">
      <c r="B309" s="49"/>
    </row>
    <row r="310">
      <c r="B310" s="49"/>
    </row>
    <row r="311">
      <c r="B311" s="49"/>
    </row>
    <row r="312">
      <c r="B312" s="49"/>
    </row>
    <row r="313">
      <c r="B313" s="49"/>
    </row>
    <row r="314">
      <c r="B314" s="49"/>
    </row>
    <row r="315">
      <c r="B315" s="49"/>
    </row>
    <row r="316">
      <c r="B316" s="49"/>
    </row>
    <row r="317">
      <c r="B317" s="49"/>
    </row>
    <row r="318">
      <c r="B318" s="49"/>
    </row>
    <row r="319">
      <c r="B319" s="49"/>
    </row>
    <row r="320">
      <c r="B320" s="49"/>
    </row>
    <row r="321">
      <c r="B321" s="49"/>
    </row>
    <row r="322">
      <c r="B322" s="49"/>
    </row>
    <row r="323">
      <c r="B323" s="49"/>
    </row>
    <row r="324">
      <c r="B324" s="49"/>
    </row>
    <row r="325">
      <c r="B325" s="49"/>
    </row>
    <row r="326">
      <c r="B326" s="49"/>
    </row>
    <row r="327">
      <c r="B327" s="49"/>
    </row>
    <row r="328">
      <c r="B328" s="49"/>
    </row>
    <row r="329">
      <c r="B329" s="49"/>
    </row>
    <row r="330">
      <c r="B330" s="49"/>
    </row>
    <row r="331">
      <c r="B331" s="49"/>
    </row>
    <row r="332">
      <c r="B332" s="49"/>
    </row>
    <row r="333">
      <c r="B333" s="49"/>
    </row>
    <row r="334">
      <c r="B334" s="49"/>
    </row>
    <row r="335">
      <c r="B335" s="49"/>
    </row>
    <row r="336">
      <c r="B336" s="49"/>
    </row>
    <row r="337">
      <c r="B337" s="49"/>
    </row>
    <row r="338">
      <c r="B338" s="49"/>
    </row>
    <row r="339">
      <c r="B339" s="49"/>
    </row>
    <row r="340">
      <c r="B340" s="49"/>
    </row>
    <row r="341">
      <c r="B341" s="49"/>
    </row>
    <row r="342">
      <c r="B342" s="49"/>
    </row>
    <row r="343">
      <c r="B343" s="49"/>
    </row>
    <row r="344">
      <c r="B344" s="49"/>
    </row>
    <row r="345">
      <c r="B345" s="49"/>
    </row>
    <row r="346">
      <c r="B346" s="49"/>
    </row>
    <row r="347">
      <c r="B347" s="49"/>
    </row>
    <row r="348">
      <c r="B348" s="49"/>
    </row>
    <row r="349">
      <c r="B349" s="49"/>
    </row>
    <row r="350">
      <c r="B350" s="49"/>
    </row>
    <row r="351">
      <c r="B351" s="49"/>
    </row>
    <row r="352">
      <c r="B352" s="49"/>
    </row>
    <row r="353">
      <c r="B353" s="49"/>
    </row>
    <row r="354">
      <c r="B354" s="49"/>
    </row>
    <row r="355">
      <c r="B355" s="49"/>
    </row>
    <row r="356">
      <c r="B356" s="49"/>
    </row>
    <row r="357">
      <c r="B357" s="49"/>
    </row>
    <row r="358">
      <c r="B358" s="49"/>
    </row>
    <row r="359">
      <c r="B359" s="49"/>
    </row>
    <row r="360">
      <c r="B360" s="49"/>
    </row>
    <row r="361">
      <c r="B361" s="49"/>
    </row>
    <row r="362">
      <c r="B362" s="49"/>
    </row>
    <row r="363">
      <c r="B363" s="49"/>
    </row>
    <row r="364">
      <c r="B364" s="49"/>
    </row>
    <row r="365">
      <c r="B365" s="49"/>
    </row>
    <row r="366">
      <c r="B366" s="49"/>
    </row>
    <row r="367">
      <c r="B367" s="49"/>
    </row>
    <row r="368">
      <c r="B368" s="49"/>
    </row>
    <row r="369">
      <c r="B369" s="49"/>
    </row>
    <row r="370">
      <c r="B370" s="49"/>
    </row>
    <row r="371">
      <c r="B371" s="49"/>
    </row>
    <row r="372">
      <c r="B372" s="49"/>
    </row>
    <row r="373">
      <c r="B373" s="49"/>
    </row>
    <row r="374">
      <c r="B374" s="49"/>
    </row>
    <row r="375">
      <c r="B375" s="49"/>
    </row>
    <row r="376">
      <c r="B376" s="49"/>
    </row>
    <row r="377">
      <c r="B377" s="49"/>
    </row>
    <row r="378">
      <c r="B378" s="49"/>
    </row>
    <row r="379">
      <c r="B379" s="49"/>
    </row>
    <row r="380">
      <c r="B380" s="49"/>
    </row>
    <row r="381">
      <c r="B381" s="49"/>
    </row>
    <row r="382">
      <c r="B382" s="49"/>
    </row>
    <row r="383">
      <c r="B383" s="49"/>
    </row>
    <row r="384">
      <c r="B384" s="49"/>
    </row>
    <row r="385">
      <c r="B385" s="49"/>
    </row>
    <row r="386">
      <c r="B386" s="49"/>
    </row>
    <row r="387">
      <c r="B387" s="49"/>
    </row>
    <row r="388">
      <c r="B388" s="49"/>
    </row>
    <row r="389">
      <c r="B389" s="49"/>
    </row>
    <row r="390">
      <c r="B390" s="49"/>
    </row>
    <row r="391">
      <c r="B391" s="49"/>
    </row>
    <row r="392">
      <c r="B392" s="49"/>
    </row>
    <row r="393">
      <c r="B393" s="49"/>
    </row>
    <row r="394">
      <c r="B394" s="49"/>
    </row>
    <row r="395">
      <c r="B395" s="49"/>
    </row>
    <row r="396">
      <c r="B396" s="49"/>
    </row>
    <row r="397">
      <c r="B397" s="49"/>
    </row>
    <row r="398">
      <c r="B398" s="49"/>
    </row>
    <row r="399">
      <c r="B399" s="49"/>
    </row>
    <row r="400">
      <c r="B400" s="49"/>
    </row>
    <row r="401">
      <c r="B401" s="49"/>
    </row>
    <row r="402">
      <c r="B402" s="49"/>
    </row>
    <row r="403">
      <c r="B403" s="49"/>
    </row>
    <row r="404">
      <c r="B404" s="49"/>
    </row>
    <row r="405">
      <c r="B405" s="49"/>
    </row>
    <row r="406">
      <c r="B406" s="49"/>
    </row>
    <row r="407">
      <c r="B407" s="49"/>
    </row>
    <row r="408">
      <c r="B408" s="49"/>
    </row>
    <row r="409">
      <c r="B409" s="49"/>
    </row>
    <row r="410">
      <c r="B410" s="49"/>
    </row>
    <row r="411">
      <c r="B411" s="49"/>
    </row>
    <row r="412">
      <c r="B412" s="49"/>
    </row>
    <row r="413">
      <c r="B413" s="49"/>
    </row>
    <row r="414">
      <c r="B414" s="49"/>
    </row>
    <row r="415">
      <c r="B415" s="49"/>
    </row>
    <row r="416">
      <c r="B416" s="49"/>
    </row>
    <row r="417">
      <c r="B417" s="49"/>
    </row>
    <row r="418">
      <c r="B418" s="49"/>
    </row>
    <row r="419">
      <c r="B419" s="49"/>
    </row>
    <row r="420">
      <c r="B420" s="49"/>
    </row>
    <row r="421">
      <c r="B421" s="49"/>
    </row>
    <row r="422">
      <c r="B422" s="49"/>
    </row>
    <row r="423">
      <c r="B423" s="49"/>
    </row>
    <row r="424">
      <c r="B424" s="49"/>
    </row>
    <row r="425">
      <c r="B425" s="49"/>
    </row>
    <row r="426">
      <c r="B426" s="49"/>
    </row>
    <row r="427">
      <c r="B427" s="49"/>
    </row>
    <row r="428">
      <c r="B428" s="49"/>
    </row>
    <row r="429">
      <c r="B429" s="49"/>
    </row>
    <row r="430">
      <c r="B430" s="49"/>
    </row>
    <row r="431">
      <c r="B431" s="49"/>
    </row>
    <row r="432">
      <c r="B432" s="49"/>
    </row>
    <row r="433">
      <c r="B433" s="49"/>
    </row>
    <row r="434">
      <c r="B434" s="49"/>
    </row>
    <row r="435">
      <c r="B435" s="49"/>
    </row>
    <row r="436">
      <c r="B436" s="49"/>
    </row>
    <row r="437">
      <c r="B437" s="49"/>
    </row>
    <row r="438">
      <c r="B438" s="49"/>
    </row>
    <row r="439">
      <c r="B439" s="49"/>
    </row>
    <row r="440">
      <c r="B440" s="49"/>
    </row>
    <row r="441">
      <c r="B441" s="49"/>
    </row>
    <row r="442">
      <c r="B442" s="49"/>
    </row>
    <row r="443">
      <c r="B443" s="49"/>
    </row>
    <row r="444">
      <c r="B444" s="49"/>
    </row>
    <row r="445">
      <c r="B445" s="49"/>
    </row>
    <row r="446">
      <c r="B446" s="49"/>
    </row>
    <row r="447">
      <c r="B447" s="49"/>
    </row>
    <row r="448">
      <c r="B448" s="49"/>
    </row>
    <row r="449">
      <c r="B449" s="49"/>
    </row>
    <row r="450">
      <c r="B450" s="49"/>
    </row>
    <row r="451">
      <c r="B451" s="49"/>
    </row>
    <row r="452">
      <c r="B452" s="49"/>
    </row>
    <row r="453">
      <c r="B453" s="49"/>
    </row>
    <row r="454">
      <c r="B454" s="49"/>
    </row>
    <row r="455">
      <c r="B455" s="49"/>
    </row>
    <row r="456">
      <c r="B456" s="49"/>
    </row>
    <row r="457">
      <c r="B457" s="49"/>
    </row>
    <row r="458">
      <c r="B458" s="49"/>
    </row>
    <row r="459">
      <c r="B459" s="49"/>
    </row>
    <row r="460">
      <c r="B460" s="49"/>
    </row>
    <row r="461">
      <c r="B461" s="49"/>
    </row>
    <row r="462">
      <c r="B462" s="49"/>
    </row>
    <row r="463">
      <c r="B463" s="49"/>
    </row>
    <row r="464">
      <c r="B464" s="49"/>
    </row>
    <row r="465">
      <c r="B465" s="49"/>
    </row>
    <row r="466">
      <c r="B466" s="49"/>
    </row>
    <row r="467">
      <c r="B467" s="49"/>
    </row>
    <row r="468">
      <c r="B468" s="49"/>
    </row>
    <row r="469">
      <c r="B469" s="49"/>
    </row>
    <row r="470">
      <c r="B470" s="49"/>
    </row>
    <row r="471">
      <c r="B471" s="49"/>
    </row>
    <row r="472">
      <c r="B472" s="49"/>
    </row>
    <row r="473">
      <c r="B473" s="49"/>
    </row>
    <row r="474">
      <c r="B474" s="49"/>
    </row>
    <row r="475">
      <c r="B475" s="49"/>
    </row>
    <row r="476">
      <c r="B476" s="49"/>
    </row>
    <row r="477">
      <c r="B477" s="49"/>
    </row>
    <row r="478">
      <c r="B478" s="49"/>
    </row>
    <row r="479">
      <c r="B479" s="49"/>
    </row>
    <row r="480">
      <c r="B480" s="49"/>
    </row>
    <row r="481">
      <c r="B481" s="49"/>
    </row>
    <row r="482">
      <c r="B482" s="49"/>
    </row>
    <row r="483">
      <c r="B483" s="49"/>
    </row>
    <row r="484">
      <c r="B484" s="49"/>
    </row>
    <row r="485">
      <c r="B485" s="49"/>
    </row>
    <row r="486">
      <c r="B486" s="49"/>
    </row>
    <row r="487">
      <c r="B487" s="49"/>
    </row>
    <row r="488">
      <c r="B488" s="49"/>
    </row>
    <row r="489">
      <c r="B489" s="49"/>
    </row>
    <row r="490">
      <c r="B490" s="49"/>
    </row>
    <row r="491">
      <c r="B491" s="49"/>
    </row>
    <row r="492">
      <c r="B492" s="49"/>
    </row>
    <row r="493">
      <c r="B493" s="49"/>
    </row>
    <row r="494">
      <c r="B494" s="49"/>
    </row>
    <row r="495">
      <c r="B495" s="49"/>
    </row>
    <row r="496">
      <c r="B496" s="49"/>
    </row>
    <row r="497">
      <c r="B497" s="49"/>
    </row>
    <row r="498">
      <c r="B498" s="49"/>
    </row>
    <row r="499">
      <c r="B499" s="49"/>
    </row>
    <row r="500">
      <c r="B500" s="49"/>
    </row>
    <row r="501">
      <c r="B501" s="49"/>
    </row>
    <row r="502">
      <c r="B502" s="49"/>
    </row>
    <row r="503">
      <c r="B503" s="49"/>
    </row>
    <row r="504">
      <c r="B504" s="49"/>
    </row>
    <row r="505">
      <c r="B505" s="49"/>
    </row>
    <row r="506">
      <c r="B506" s="49"/>
    </row>
    <row r="507">
      <c r="B507" s="49"/>
    </row>
    <row r="508">
      <c r="B508" s="49"/>
    </row>
    <row r="509">
      <c r="B509" s="49"/>
    </row>
    <row r="510">
      <c r="B510" s="49"/>
    </row>
    <row r="511">
      <c r="B511" s="49"/>
    </row>
    <row r="512">
      <c r="B512" s="49"/>
    </row>
    <row r="513">
      <c r="B513" s="49"/>
    </row>
    <row r="514">
      <c r="B514" s="49"/>
    </row>
    <row r="515">
      <c r="B515" s="49"/>
    </row>
    <row r="516">
      <c r="B516" s="49"/>
    </row>
    <row r="517">
      <c r="B517" s="49"/>
    </row>
    <row r="518">
      <c r="B518" s="49"/>
    </row>
    <row r="519">
      <c r="B519" s="49"/>
    </row>
    <row r="520">
      <c r="B520" s="49"/>
    </row>
    <row r="521">
      <c r="B521" s="49"/>
    </row>
    <row r="522">
      <c r="B522" s="49"/>
    </row>
    <row r="523">
      <c r="B523" s="49"/>
    </row>
    <row r="524">
      <c r="B524" s="49"/>
    </row>
    <row r="525">
      <c r="B525" s="49"/>
    </row>
    <row r="526">
      <c r="B526" s="49"/>
    </row>
    <row r="527">
      <c r="B527" s="49"/>
    </row>
    <row r="528">
      <c r="B528" s="49"/>
    </row>
    <row r="529">
      <c r="B529" s="49"/>
    </row>
    <row r="530">
      <c r="B530" s="49"/>
    </row>
    <row r="531">
      <c r="B531" s="49"/>
    </row>
    <row r="532">
      <c r="B532" s="49"/>
    </row>
    <row r="533">
      <c r="B533" s="49"/>
    </row>
    <row r="534">
      <c r="B534" s="49"/>
    </row>
    <row r="535">
      <c r="B535" s="49"/>
    </row>
    <row r="536">
      <c r="B536" s="49"/>
    </row>
    <row r="537">
      <c r="B537" s="49"/>
    </row>
    <row r="538">
      <c r="B538" s="49"/>
    </row>
    <row r="539">
      <c r="B539" s="49"/>
    </row>
    <row r="540">
      <c r="B540" s="49"/>
    </row>
    <row r="541">
      <c r="B541" s="49"/>
    </row>
    <row r="542">
      <c r="B542" s="49"/>
    </row>
    <row r="543">
      <c r="B543" s="49"/>
    </row>
    <row r="544">
      <c r="B544" s="49"/>
    </row>
    <row r="545">
      <c r="B545" s="49"/>
    </row>
    <row r="546">
      <c r="B546" s="49"/>
    </row>
    <row r="547">
      <c r="B547" s="49"/>
    </row>
    <row r="548">
      <c r="B548" s="49"/>
    </row>
    <row r="549">
      <c r="B549" s="49"/>
    </row>
    <row r="550">
      <c r="B550" s="49"/>
    </row>
    <row r="551">
      <c r="B551" s="49"/>
    </row>
    <row r="552">
      <c r="B552" s="49"/>
    </row>
    <row r="553">
      <c r="B553" s="49"/>
    </row>
    <row r="554">
      <c r="B554" s="49"/>
    </row>
    <row r="555">
      <c r="B555" s="49"/>
    </row>
    <row r="556">
      <c r="B556" s="49"/>
    </row>
    <row r="557">
      <c r="B557" s="49"/>
    </row>
    <row r="558">
      <c r="B558" s="49"/>
    </row>
    <row r="559">
      <c r="B559" s="49"/>
    </row>
    <row r="560">
      <c r="B560" s="49"/>
    </row>
    <row r="561">
      <c r="B561" s="49"/>
    </row>
    <row r="562">
      <c r="B562" s="49"/>
    </row>
    <row r="563">
      <c r="B563" s="49"/>
    </row>
    <row r="564">
      <c r="B564" s="49"/>
    </row>
    <row r="565">
      <c r="B565" s="49"/>
    </row>
    <row r="566">
      <c r="B566" s="49"/>
    </row>
    <row r="567">
      <c r="B567" s="49"/>
    </row>
    <row r="568">
      <c r="B568" s="49"/>
    </row>
    <row r="569">
      <c r="B569" s="49"/>
    </row>
    <row r="570">
      <c r="B570" s="49"/>
    </row>
    <row r="571">
      <c r="B571" s="49"/>
    </row>
    <row r="572">
      <c r="B572" s="49"/>
    </row>
    <row r="573">
      <c r="B573" s="49"/>
    </row>
    <row r="574">
      <c r="B574" s="49"/>
    </row>
    <row r="575">
      <c r="B575" s="49"/>
    </row>
    <row r="576">
      <c r="B576" s="49"/>
    </row>
    <row r="577">
      <c r="B577" s="49"/>
    </row>
    <row r="578">
      <c r="B578" s="49"/>
    </row>
    <row r="579">
      <c r="B579" s="49"/>
    </row>
    <row r="580">
      <c r="B580" s="49"/>
    </row>
    <row r="581">
      <c r="B581" s="49"/>
    </row>
    <row r="582">
      <c r="B582" s="49"/>
    </row>
    <row r="583">
      <c r="B583" s="49"/>
    </row>
    <row r="584">
      <c r="B584" s="49"/>
    </row>
    <row r="585">
      <c r="B585" s="49"/>
    </row>
    <row r="586">
      <c r="B586" s="49"/>
    </row>
    <row r="587">
      <c r="B587" s="49"/>
    </row>
    <row r="588">
      <c r="B588" s="49"/>
    </row>
    <row r="589">
      <c r="B589" s="49"/>
    </row>
    <row r="590">
      <c r="B590" s="49"/>
    </row>
    <row r="591">
      <c r="B591" s="49"/>
    </row>
    <row r="592">
      <c r="B592" s="49"/>
    </row>
    <row r="593">
      <c r="B593" s="49"/>
    </row>
    <row r="594">
      <c r="B594" s="49"/>
    </row>
    <row r="595">
      <c r="B595" s="49"/>
    </row>
    <row r="596">
      <c r="B596" s="49"/>
    </row>
    <row r="597">
      <c r="B597" s="49"/>
    </row>
    <row r="598">
      <c r="B598" s="49"/>
    </row>
    <row r="599">
      <c r="B599" s="49"/>
    </row>
    <row r="600">
      <c r="B600" s="49"/>
    </row>
    <row r="601">
      <c r="B601" s="49"/>
    </row>
    <row r="602">
      <c r="B602" s="49"/>
    </row>
    <row r="603">
      <c r="B603" s="49"/>
    </row>
    <row r="604">
      <c r="B604" s="49"/>
    </row>
    <row r="605">
      <c r="B605" s="49"/>
    </row>
    <row r="606">
      <c r="B606" s="49"/>
    </row>
    <row r="607">
      <c r="B607" s="49"/>
    </row>
    <row r="608">
      <c r="B608" s="49"/>
    </row>
    <row r="609">
      <c r="B609" s="49"/>
    </row>
    <row r="610">
      <c r="B610" s="49"/>
    </row>
    <row r="611">
      <c r="B611" s="49"/>
    </row>
    <row r="612">
      <c r="B612" s="49"/>
    </row>
    <row r="613">
      <c r="B613" s="49"/>
    </row>
    <row r="614">
      <c r="B614" s="49"/>
    </row>
    <row r="615">
      <c r="B615" s="49"/>
    </row>
    <row r="616">
      <c r="B616" s="49"/>
    </row>
    <row r="617">
      <c r="B617" s="49"/>
    </row>
    <row r="618">
      <c r="B618" s="49"/>
    </row>
    <row r="619">
      <c r="B619" s="49"/>
    </row>
    <row r="620">
      <c r="B620" s="49"/>
    </row>
    <row r="621">
      <c r="B621" s="49"/>
    </row>
    <row r="622">
      <c r="B622" s="49"/>
    </row>
    <row r="623">
      <c r="B623" s="49"/>
    </row>
    <row r="624">
      <c r="B624" s="49"/>
    </row>
    <row r="625">
      <c r="B625" s="49"/>
    </row>
    <row r="626">
      <c r="B626" s="49"/>
    </row>
    <row r="627">
      <c r="B627" s="49"/>
    </row>
    <row r="628">
      <c r="B628" s="49"/>
    </row>
    <row r="629">
      <c r="B629" s="49"/>
    </row>
    <row r="630">
      <c r="B630" s="49"/>
    </row>
    <row r="631">
      <c r="B631" s="49"/>
    </row>
    <row r="632">
      <c r="B632" s="49"/>
    </row>
    <row r="633">
      <c r="B633" s="49"/>
    </row>
    <row r="634">
      <c r="B634" s="49"/>
    </row>
    <row r="635">
      <c r="B635" s="49"/>
    </row>
    <row r="636">
      <c r="B636" s="49"/>
    </row>
    <row r="637">
      <c r="B637" s="49"/>
    </row>
    <row r="638">
      <c r="B638" s="49"/>
    </row>
    <row r="639">
      <c r="B639" s="49"/>
    </row>
    <row r="640">
      <c r="B640" s="49"/>
    </row>
    <row r="641">
      <c r="B641" s="49"/>
    </row>
    <row r="642">
      <c r="B642" s="49"/>
    </row>
    <row r="643">
      <c r="B643" s="49"/>
    </row>
    <row r="644">
      <c r="B644" s="49"/>
    </row>
    <row r="645">
      <c r="B645" s="49"/>
    </row>
    <row r="646">
      <c r="B646" s="49"/>
    </row>
    <row r="647">
      <c r="B647" s="49"/>
    </row>
    <row r="648">
      <c r="B648" s="49"/>
    </row>
    <row r="649">
      <c r="B649" s="49"/>
    </row>
    <row r="650">
      <c r="B650" s="49"/>
    </row>
    <row r="651">
      <c r="B651" s="49"/>
    </row>
    <row r="652">
      <c r="B652" s="49"/>
    </row>
    <row r="653">
      <c r="B653" s="49"/>
    </row>
    <row r="654">
      <c r="B654" s="49"/>
    </row>
    <row r="655">
      <c r="B655" s="49"/>
    </row>
    <row r="656">
      <c r="B656" s="49"/>
    </row>
    <row r="657">
      <c r="B657" s="49"/>
    </row>
    <row r="658">
      <c r="B658" s="49"/>
    </row>
    <row r="659">
      <c r="B659" s="49"/>
    </row>
    <row r="660">
      <c r="B660" s="49"/>
    </row>
    <row r="661">
      <c r="B661" s="49"/>
    </row>
    <row r="662">
      <c r="B662" s="49"/>
    </row>
    <row r="663">
      <c r="B663" s="49"/>
    </row>
    <row r="664">
      <c r="B664" s="49"/>
    </row>
    <row r="665">
      <c r="B665" s="49"/>
    </row>
    <row r="666">
      <c r="B666" s="49"/>
    </row>
    <row r="667">
      <c r="B667" s="49"/>
    </row>
    <row r="668">
      <c r="B668" s="49"/>
    </row>
    <row r="669">
      <c r="B669" s="49"/>
    </row>
    <row r="670">
      <c r="B670" s="49"/>
    </row>
    <row r="671">
      <c r="B671" s="49"/>
    </row>
    <row r="672">
      <c r="B672" s="49"/>
    </row>
    <row r="673">
      <c r="B673" s="49"/>
    </row>
    <row r="674">
      <c r="B674" s="49"/>
    </row>
    <row r="675">
      <c r="B675" s="49"/>
    </row>
    <row r="676">
      <c r="B676" s="49"/>
    </row>
    <row r="677">
      <c r="B677" s="49"/>
    </row>
    <row r="678">
      <c r="B678" s="49"/>
    </row>
    <row r="679">
      <c r="B679" s="49"/>
    </row>
    <row r="680">
      <c r="B680" s="49"/>
    </row>
    <row r="681">
      <c r="B681" s="49"/>
    </row>
    <row r="682">
      <c r="B682" s="49"/>
    </row>
    <row r="683">
      <c r="B683" s="49"/>
    </row>
    <row r="684">
      <c r="B684" s="49"/>
    </row>
    <row r="685">
      <c r="B685" s="49"/>
    </row>
    <row r="686">
      <c r="B686" s="49"/>
    </row>
    <row r="687">
      <c r="B687" s="49"/>
    </row>
    <row r="688">
      <c r="B688" s="49"/>
    </row>
    <row r="689">
      <c r="B689" s="49"/>
    </row>
    <row r="690">
      <c r="B690" s="49"/>
    </row>
    <row r="691">
      <c r="B691" s="49"/>
    </row>
    <row r="692">
      <c r="B692" s="49"/>
    </row>
    <row r="693">
      <c r="B693" s="49"/>
    </row>
    <row r="694">
      <c r="B694" s="49"/>
    </row>
    <row r="695">
      <c r="B695" s="49"/>
    </row>
    <row r="696">
      <c r="B696" s="49"/>
    </row>
    <row r="697">
      <c r="B697" s="49"/>
    </row>
    <row r="698">
      <c r="B698" s="49"/>
    </row>
    <row r="699">
      <c r="B699" s="49"/>
    </row>
    <row r="700">
      <c r="B700" s="49"/>
    </row>
    <row r="701">
      <c r="B701" s="49"/>
    </row>
    <row r="702">
      <c r="B702" s="49"/>
    </row>
    <row r="703">
      <c r="B703" s="49"/>
    </row>
    <row r="704">
      <c r="B704" s="49"/>
    </row>
    <row r="705">
      <c r="B705" s="49"/>
    </row>
    <row r="706">
      <c r="B706" s="49"/>
    </row>
    <row r="707">
      <c r="B707" s="49"/>
    </row>
    <row r="708">
      <c r="B708" s="49"/>
    </row>
    <row r="709">
      <c r="B709" s="49"/>
    </row>
    <row r="710">
      <c r="B710" s="49"/>
    </row>
    <row r="711">
      <c r="B711" s="49"/>
    </row>
    <row r="712">
      <c r="B712" s="49"/>
    </row>
    <row r="713">
      <c r="B713" s="49"/>
    </row>
    <row r="714">
      <c r="B714" s="49"/>
    </row>
    <row r="715">
      <c r="B715" s="49"/>
    </row>
    <row r="716">
      <c r="B716" s="49"/>
    </row>
    <row r="717">
      <c r="B717" s="49"/>
    </row>
    <row r="718">
      <c r="B718" s="49"/>
    </row>
    <row r="719">
      <c r="B719" s="49"/>
    </row>
    <row r="720">
      <c r="B720" s="49"/>
    </row>
    <row r="721">
      <c r="B721" s="49"/>
    </row>
    <row r="722">
      <c r="B722" s="49"/>
    </row>
    <row r="723">
      <c r="B723" s="49"/>
    </row>
    <row r="724">
      <c r="B724" s="49"/>
    </row>
    <row r="725">
      <c r="B725" s="49"/>
    </row>
    <row r="726">
      <c r="B726" s="49"/>
    </row>
    <row r="727">
      <c r="B727" s="49"/>
    </row>
    <row r="728">
      <c r="B728" s="49"/>
    </row>
    <row r="729">
      <c r="B729" s="49"/>
    </row>
    <row r="730">
      <c r="B730" s="49"/>
    </row>
    <row r="731">
      <c r="B731" s="49"/>
    </row>
    <row r="732">
      <c r="B732" s="49"/>
    </row>
    <row r="733">
      <c r="B733" s="49"/>
    </row>
    <row r="734">
      <c r="B734" s="49"/>
    </row>
    <row r="735">
      <c r="B735" s="49"/>
    </row>
    <row r="736">
      <c r="B736" s="49"/>
    </row>
    <row r="737">
      <c r="B737" s="49"/>
    </row>
    <row r="738">
      <c r="B738" s="49"/>
    </row>
    <row r="739">
      <c r="B739" s="49"/>
    </row>
    <row r="740">
      <c r="B740" s="49"/>
    </row>
    <row r="741">
      <c r="B741" s="49"/>
    </row>
    <row r="742">
      <c r="B742" s="49"/>
    </row>
    <row r="743">
      <c r="B743" s="49"/>
    </row>
    <row r="744">
      <c r="B744" s="49"/>
    </row>
    <row r="745">
      <c r="B745" s="49"/>
    </row>
    <row r="746">
      <c r="B746" s="49"/>
    </row>
    <row r="747">
      <c r="B747" s="49"/>
    </row>
    <row r="748">
      <c r="B748" s="49"/>
    </row>
    <row r="749">
      <c r="B749" s="49"/>
    </row>
    <row r="750">
      <c r="B750" s="49"/>
    </row>
    <row r="751">
      <c r="B751" s="49"/>
    </row>
    <row r="752">
      <c r="B752" s="49"/>
    </row>
    <row r="753">
      <c r="B753" s="49"/>
    </row>
    <row r="754">
      <c r="B754" s="49"/>
    </row>
    <row r="755">
      <c r="B755" s="49"/>
    </row>
    <row r="756">
      <c r="B756" s="49"/>
    </row>
    <row r="757">
      <c r="B757" s="49"/>
    </row>
    <row r="758">
      <c r="B758" s="49"/>
    </row>
    <row r="759">
      <c r="B759" s="49"/>
    </row>
    <row r="760">
      <c r="B760" s="49"/>
    </row>
    <row r="761">
      <c r="B761" s="49"/>
    </row>
    <row r="762">
      <c r="B762" s="49"/>
    </row>
    <row r="763">
      <c r="B763" s="49"/>
    </row>
    <row r="764">
      <c r="B764" s="49"/>
    </row>
    <row r="765">
      <c r="B765" s="49"/>
    </row>
    <row r="766">
      <c r="B766" s="49"/>
    </row>
    <row r="767">
      <c r="B767" s="49"/>
    </row>
    <row r="768">
      <c r="B768" s="49"/>
    </row>
    <row r="769">
      <c r="B769" s="49"/>
    </row>
    <row r="770">
      <c r="B770" s="49"/>
    </row>
    <row r="771">
      <c r="B771" s="49"/>
    </row>
    <row r="772">
      <c r="B772" s="49"/>
    </row>
    <row r="773">
      <c r="B773" s="49"/>
    </row>
    <row r="774">
      <c r="B774" s="49"/>
    </row>
    <row r="775">
      <c r="B775" s="49"/>
    </row>
    <row r="776">
      <c r="B776" s="49"/>
    </row>
    <row r="777">
      <c r="B777" s="49"/>
    </row>
    <row r="778">
      <c r="B778" s="49"/>
    </row>
    <row r="779">
      <c r="B779" s="49"/>
    </row>
    <row r="780">
      <c r="B780" s="49"/>
    </row>
    <row r="781">
      <c r="B781" s="49"/>
    </row>
    <row r="782">
      <c r="B782" s="49"/>
    </row>
    <row r="783">
      <c r="B783" s="49"/>
    </row>
    <row r="784">
      <c r="B784" s="49"/>
    </row>
    <row r="785">
      <c r="B785" s="49"/>
    </row>
    <row r="786">
      <c r="B786" s="49"/>
    </row>
    <row r="787">
      <c r="B787" s="49"/>
    </row>
    <row r="788">
      <c r="B788" s="49"/>
    </row>
    <row r="789">
      <c r="B789" s="49"/>
    </row>
    <row r="790">
      <c r="B790" s="49"/>
    </row>
    <row r="791">
      <c r="B791" s="49"/>
    </row>
    <row r="792">
      <c r="B792" s="49"/>
    </row>
    <row r="793">
      <c r="B793" s="49"/>
    </row>
    <row r="794">
      <c r="B794" s="49"/>
    </row>
    <row r="795">
      <c r="B795" s="49"/>
    </row>
    <row r="796">
      <c r="B796" s="49"/>
    </row>
    <row r="797">
      <c r="B797" s="49"/>
    </row>
    <row r="798">
      <c r="B798" s="49"/>
    </row>
    <row r="799">
      <c r="B799" s="49"/>
    </row>
    <row r="800">
      <c r="B800" s="49"/>
    </row>
    <row r="801">
      <c r="B801" s="49"/>
    </row>
    <row r="802">
      <c r="B802" s="49"/>
    </row>
    <row r="803">
      <c r="B803" s="49"/>
    </row>
    <row r="804">
      <c r="B804" s="49"/>
    </row>
    <row r="805">
      <c r="B805" s="49"/>
    </row>
    <row r="806">
      <c r="B806" s="49"/>
    </row>
    <row r="807">
      <c r="B807" s="49"/>
    </row>
    <row r="808">
      <c r="B808" s="49"/>
    </row>
    <row r="809">
      <c r="B809" s="49"/>
    </row>
    <row r="810">
      <c r="B810" s="49"/>
    </row>
    <row r="811">
      <c r="B811" s="49"/>
    </row>
    <row r="812">
      <c r="B812" s="49"/>
    </row>
    <row r="813">
      <c r="B813" s="49"/>
    </row>
    <row r="814">
      <c r="B814" s="49"/>
    </row>
    <row r="815">
      <c r="B815" s="49"/>
    </row>
    <row r="816">
      <c r="B816" s="49"/>
    </row>
    <row r="817">
      <c r="B817" s="49"/>
    </row>
    <row r="818">
      <c r="B818" s="49"/>
    </row>
    <row r="819">
      <c r="B819" s="49"/>
    </row>
    <row r="820">
      <c r="B820" s="49"/>
    </row>
    <row r="821">
      <c r="B821" s="49"/>
    </row>
    <row r="822">
      <c r="B822" s="49"/>
    </row>
    <row r="823">
      <c r="B823" s="49"/>
    </row>
    <row r="824">
      <c r="B824" s="49"/>
    </row>
    <row r="825">
      <c r="B825" s="49"/>
    </row>
    <row r="826">
      <c r="B826" s="49"/>
    </row>
    <row r="827">
      <c r="B827" s="49"/>
    </row>
    <row r="828">
      <c r="B828" s="49"/>
    </row>
    <row r="829">
      <c r="B829" s="49"/>
    </row>
    <row r="830">
      <c r="B830" s="49"/>
    </row>
    <row r="831">
      <c r="B831" s="49"/>
    </row>
    <row r="832">
      <c r="B832" s="49"/>
    </row>
    <row r="833">
      <c r="B833" s="49"/>
    </row>
    <row r="834">
      <c r="B834" s="49"/>
    </row>
    <row r="835">
      <c r="B835" s="49"/>
    </row>
    <row r="836">
      <c r="B836" s="49"/>
    </row>
    <row r="837">
      <c r="B837" s="49"/>
    </row>
    <row r="838">
      <c r="B838" s="49"/>
    </row>
    <row r="839">
      <c r="B839" s="49"/>
    </row>
    <row r="840">
      <c r="B840" s="49"/>
    </row>
    <row r="841">
      <c r="B841" s="49"/>
    </row>
    <row r="842">
      <c r="B842" s="49"/>
    </row>
    <row r="843">
      <c r="B843" s="49"/>
    </row>
    <row r="844">
      <c r="B844" s="49"/>
    </row>
    <row r="845">
      <c r="B845" s="49"/>
    </row>
    <row r="846">
      <c r="B846" s="49"/>
    </row>
    <row r="847">
      <c r="B847" s="49"/>
    </row>
    <row r="848">
      <c r="B848" s="49"/>
    </row>
    <row r="849">
      <c r="B849" s="49"/>
    </row>
    <row r="850">
      <c r="B850" s="49"/>
    </row>
    <row r="851">
      <c r="B851" s="49"/>
    </row>
    <row r="852">
      <c r="B852" s="49"/>
    </row>
    <row r="853">
      <c r="B853" s="49"/>
    </row>
    <row r="854">
      <c r="B854" s="49"/>
    </row>
    <row r="855">
      <c r="B855" s="49"/>
    </row>
    <row r="856">
      <c r="B856" s="49"/>
    </row>
    <row r="857">
      <c r="B857" s="49"/>
    </row>
    <row r="858">
      <c r="B858" s="49"/>
    </row>
    <row r="859">
      <c r="B859" s="49"/>
    </row>
    <row r="860">
      <c r="B860" s="49"/>
    </row>
    <row r="861">
      <c r="B861" s="49"/>
    </row>
    <row r="862">
      <c r="B862" s="49"/>
    </row>
    <row r="863">
      <c r="B863" s="49"/>
    </row>
    <row r="864">
      <c r="B864" s="49"/>
    </row>
    <row r="865">
      <c r="B865" s="49"/>
    </row>
    <row r="866">
      <c r="B866" s="49"/>
    </row>
    <row r="867">
      <c r="B867" s="49"/>
    </row>
    <row r="868">
      <c r="B868" s="49"/>
    </row>
    <row r="869">
      <c r="B869" s="49"/>
    </row>
    <row r="870">
      <c r="B870" s="49"/>
    </row>
    <row r="871">
      <c r="B871" s="49"/>
    </row>
    <row r="872">
      <c r="B872" s="49"/>
    </row>
    <row r="873">
      <c r="B873" s="49"/>
    </row>
    <row r="874">
      <c r="B874" s="49"/>
    </row>
    <row r="875">
      <c r="B875" s="49"/>
    </row>
    <row r="876">
      <c r="B876" s="49"/>
    </row>
    <row r="877">
      <c r="B877" s="49"/>
    </row>
    <row r="878">
      <c r="B878" s="49"/>
    </row>
    <row r="879">
      <c r="B879" s="49"/>
    </row>
    <row r="880">
      <c r="B880" s="49"/>
    </row>
    <row r="881">
      <c r="B881" s="49"/>
    </row>
    <row r="882">
      <c r="B882" s="49"/>
    </row>
    <row r="883">
      <c r="B883" s="49"/>
    </row>
    <row r="884">
      <c r="B884" s="49"/>
    </row>
    <row r="885">
      <c r="B885" s="49"/>
    </row>
    <row r="886">
      <c r="B886" s="49"/>
    </row>
    <row r="887">
      <c r="B887" s="49"/>
    </row>
    <row r="888">
      <c r="B888" s="49"/>
    </row>
    <row r="889">
      <c r="B889" s="49"/>
    </row>
    <row r="890">
      <c r="B890" s="49"/>
    </row>
    <row r="891">
      <c r="B891" s="49"/>
    </row>
    <row r="892">
      <c r="B892" s="49"/>
    </row>
    <row r="893">
      <c r="B893" s="49"/>
    </row>
    <row r="894">
      <c r="B894" s="49"/>
    </row>
    <row r="895">
      <c r="B895" s="49"/>
    </row>
    <row r="896">
      <c r="B896" s="49"/>
    </row>
    <row r="897">
      <c r="B897" s="49"/>
    </row>
    <row r="898">
      <c r="B898" s="49"/>
    </row>
    <row r="899">
      <c r="B899" s="49"/>
    </row>
    <row r="900">
      <c r="B900" s="49"/>
    </row>
    <row r="901">
      <c r="B901" s="49"/>
    </row>
    <row r="902">
      <c r="B902" s="49"/>
    </row>
    <row r="903">
      <c r="B903" s="49"/>
    </row>
    <row r="904">
      <c r="B904" s="49"/>
    </row>
    <row r="905">
      <c r="B905" s="49"/>
    </row>
    <row r="906">
      <c r="B906" s="49"/>
    </row>
    <row r="907">
      <c r="B907" s="49"/>
    </row>
    <row r="908">
      <c r="B908" s="49"/>
    </row>
    <row r="909">
      <c r="B909" s="49"/>
    </row>
    <row r="910">
      <c r="B910" s="49"/>
    </row>
    <row r="911">
      <c r="B911" s="49"/>
    </row>
    <row r="912">
      <c r="B912" s="49"/>
    </row>
    <row r="913">
      <c r="B913" s="49"/>
    </row>
    <row r="914">
      <c r="B914" s="49"/>
    </row>
    <row r="915">
      <c r="B915" s="49"/>
    </row>
    <row r="916">
      <c r="B916" s="49"/>
    </row>
    <row r="917">
      <c r="B917" s="49"/>
    </row>
    <row r="918">
      <c r="B918" s="49"/>
    </row>
    <row r="919">
      <c r="B919" s="49"/>
    </row>
    <row r="920">
      <c r="B920" s="49"/>
    </row>
    <row r="921">
      <c r="B921" s="49"/>
    </row>
    <row r="922">
      <c r="B922" s="49"/>
    </row>
    <row r="923">
      <c r="B923" s="49"/>
    </row>
    <row r="924">
      <c r="B924" s="49"/>
    </row>
    <row r="925">
      <c r="B925" s="49"/>
    </row>
    <row r="926">
      <c r="B926" s="49"/>
    </row>
    <row r="927">
      <c r="B927" s="49"/>
    </row>
    <row r="928">
      <c r="B928" s="49"/>
    </row>
    <row r="929">
      <c r="B929" s="49"/>
    </row>
    <row r="930">
      <c r="B930" s="49"/>
    </row>
    <row r="931">
      <c r="B931" s="49"/>
    </row>
    <row r="932">
      <c r="B932" s="49"/>
    </row>
    <row r="933">
      <c r="B933" s="49"/>
    </row>
    <row r="934">
      <c r="B934" s="49"/>
    </row>
    <row r="935">
      <c r="B935" s="49"/>
    </row>
    <row r="936">
      <c r="B936" s="49"/>
    </row>
    <row r="937">
      <c r="B937" s="49"/>
    </row>
    <row r="938">
      <c r="B938" s="49"/>
    </row>
    <row r="939">
      <c r="B939" s="49"/>
    </row>
    <row r="940">
      <c r="B940" s="49"/>
    </row>
    <row r="941">
      <c r="B941" s="49"/>
    </row>
    <row r="942">
      <c r="B942" s="49"/>
    </row>
    <row r="943">
      <c r="B943" s="49"/>
    </row>
    <row r="944">
      <c r="B944" s="49"/>
    </row>
    <row r="945">
      <c r="B945" s="49"/>
    </row>
    <row r="946">
      <c r="B946" s="49"/>
    </row>
    <row r="947">
      <c r="B947" s="49"/>
    </row>
    <row r="948">
      <c r="B948" s="49"/>
    </row>
    <row r="949">
      <c r="B949" s="49"/>
    </row>
    <row r="950">
      <c r="B950" s="49"/>
    </row>
    <row r="951">
      <c r="B951" s="49"/>
    </row>
    <row r="952">
      <c r="B952" s="49"/>
    </row>
    <row r="953">
      <c r="B953" s="49"/>
    </row>
    <row r="954">
      <c r="B954" s="49"/>
    </row>
    <row r="955">
      <c r="B955" s="49"/>
    </row>
    <row r="956">
      <c r="B956" s="49"/>
    </row>
    <row r="957">
      <c r="B957" s="49"/>
    </row>
    <row r="958">
      <c r="B958" s="49"/>
    </row>
    <row r="959">
      <c r="B959" s="49"/>
    </row>
    <row r="960">
      <c r="B960" s="49"/>
    </row>
    <row r="961">
      <c r="B961" s="49"/>
    </row>
    <row r="962">
      <c r="B962" s="49"/>
    </row>
    <row r="963">
      <c r="B963" s="49"/>
    </row>
    <row r="964">
      <c r="B964" s="49"/>
    </row>
    <row r="965">
      <c r="B965" s="49"/>
    </row>
    <row r="966">
      <c r="B966" s="49"/>
    </row>
    <row r="967">
      <c r="B967" s="49"/>
    </row>
    <row r="968">
      <c r="B968" s="49"/>
    </row>
    <row r="969">
      <c r="B969" s="49"/>
    </row>
    <row r="970">
      <c r="B970" s="49"/>
    </row>
    <row r="971">
      <c r="B971" s="49"/>
    </row>
    <row r="972">
      <c r="B972" s="49"/>
    </row>
    <row r="973">
      <c r="B973" s="49"/>
    </row>
    <row r="974">
      <c r="B974" s="49"/>
    </row>
    <row r="975">
      <c r="B975" s="49"/>
    </row>
    <row r="976">
      <c r="B976" s="49"/>
    </row>
    <row r="977">
      <c r="B977" s="49"/>
    </row>
    <row r="978">
      <c r="B978" s="49"/>
    </row>
    <row r="979">
      <c r="B979" s="49"/>
    </row>
    <row r="980">
      <c r="B980" s="49"/>
    </row>
    <row r="981">
      <c r="B981" s="49"/>
    </row>
    <row r="982">
      <c r="B982" s="49"/>
    </row>
    <row r="983">
      <c r="B983" s="49"/>
    </row>
    <row r="984">
      <c r="B984" s="49"/>
    </row>
    <row r="985">
      <c r="B985" s="49"/>
    </row>
    <row r="986">
      <c r="B986" s="49"/>
    </row>
    <row r="987">
      <c r="B987" s="49"/>
    </row>
    <row r="988">
      <c r="B988" s="49"/>
    </row>
    <row r="989">
      <c r="B989" s="49"/>
    </row>
    <row r="990">
      <c r="B990" s="49"/>
    </row>
    <row r="991">
      <c r="B991" s="49"/>
    </row>
    <row r="992">
      <c r="B992" s="49"/>
    </row>
    <row r="993">
      <c r="B993" s="49"/>
    </row>
    <row r="994">
      <c r="B994" s="49"/>
    </row>
    <row r="995">
      <c r="B995" s="49"/>
    </row>
    <row r="996">
      <c r="B996" s="49"/>
    </row>
    <row r="997">
      <c r="B997" s="49"/>
    </row>
    <row r="998">
      <c r="B998" s="49"/>
    </row>
    <row r="999">
      <c r="B999" s="49"/>
    </row>
    <row r="1000">
      <c r="B1000" s="49"/>
    </row>
  </sheetData>
  <drawing r:id="rId1"/>
</worksheet>
</file>