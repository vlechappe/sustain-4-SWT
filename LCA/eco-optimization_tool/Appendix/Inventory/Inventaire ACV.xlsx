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Wind generator" sheetId="1" state="visible" r:id="rId3"/>
    <sheet name="Structure" sheetId="2" state="visible" r:id="rId4"/>
    <sheet name="Electronics" sheetId="3" state="visible" r:id="rId5"/>
    <sheet name="Hardware structure" sheetId="4" state="visible" r:id="rId6"/>
    <sheet name="Hardware gene"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N21" authorId="0">
      <text>
        <r>
          <rPr>
            <sz val="10"/>
            <rFont val="Arial"/>
            <family val="2"/>
          </rPr>
          <t xml:space="preserve">======
ID#AAABpywjpOQ
    (2025-08-25 15:22:25)
pieces partout car coils c'est pour des plaques(faux ami)
	-La Raphinerie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
ID#AAABpywjpN0
    (2025-08-25 15:22:25)
https://www.chausson.fr/quincaillerie/cheville-frapper-long-xtrem-spit-avec-vis-tete-fraisee-zinguee-10x160mm-boite-50-p-47707-1
	-La Raphinerie</t>
        </r>
      </text>
    </comment>
    <comment ref="D1" authorId="0">
      <text>
        <r>
          <rPr>
            <sz val="10"/>
            <rFont val="Arial"/>
            <family val="2"/>
          </rPr>
          <t xml:space="preserve">======
ID#AAABpywjpOw
    (2025-08-25 15:22:25)
https://www.boltport.com/weights/din-934/
	-La Raphinerie</t>
        </r>
      </text>
    </comment>
    <comment ref="E1" authorId="0">
      <text>
        <r>
          <rPr>
            <sz val="10"/>
            <rFont val="Arial"/>
            <family val="2"/>
          </rPr>
          <t xml:space="preserve">======
ID#AAABpywjpNk
    (2025-08-25 15:22:25)
https://www.simafrance.com/fr/tendeurs/117-tendeur-standard-chape-chape-.html
	-La Raphinerie</t>
        </r>
      </text>
    </comment>
    <comment ref="F1" authorId="0">
      <text>
        <r>
          <rPr>
            <sz val="10"/>
            <rFont val="Arial"/>
            <family val="2"/>
          </rPr>
          <t xml:space="preserve">======
ID#AAABpywjpNo
    (2025-08-25 15:22:25)
https://www.prolev.fr/dynamic/pdf/fiches/manille_lyre_haute_resistance_hr_fiche_technique_prolev_3.pdf
	-La Raphinerie</t>
        </r>
      </text>
    </comment>
    <comment ref="G1" authorId="0">
      <text>
        <r>
          <rPr>
            <sz val="10"/>
            <rFont val="Arial"/>
            <family val="2"/>
          </rPr>
          <t xml:space="preserve">======
ID#AAABpytb5Og
    (2025-08-25 15:22:25)
https://www.greenpin.com/sites/default/files/2021-06/DO_FR_CATFR_Catalogue_3.%20Wire%20Rope%20Clips.pdf
	-La Raphinerie</t>
        </r>
      </text>
    </comment>
    <comment ref="H1" authorId="0">
      <text>
        <r>
          <rPr>
            <sz val="10"/>
            <rFont val="Arial"/>
            <family val="2"/>
          </rPr>
          <t xml:space="preserve">======
ID#AAABpywjpOI
    (2025-08-25 15:22:25)
https://www.dispano.fr/p/outillage-quincaillerie/cosse-coeur-standard-pour-cable-diametre-6mm-en-acier-zingue-blanc-ccl106-A1474858
	-La Raphinerie</t>
        </r>
      </text>
    </comment>
    <comment ref="J1" authorId="0">
      <text>
        <r>
          <rPr>
            <sz val="10"/>
            <rFont val="Arial"/>
            <family val="2"/>
          </rPr>
          <t xml:space="preserve">======
ID#AAABpywjpOE
    (2025-08-25 15:22:25)
Ajouter ref
	-La Raphinerie
90m²/t : https://www.researchgate.net/publication/278314426_Handbook_of_Hot-Dip_Galvanization
60 m²/t : https://ecoquery.ecoinvent.org/3.11/cutoff/dataset/7951/documentation
	-La Raphinerie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
ID#AAABpywjpOk
    (2025-08-25 15:22:25)
https://www.boltport.com/weights/din-934/
	-La Raphinerie</t>
        </r>
      </text>
    </comment>
    <comment ref="A7" authorId="0">
      <text>
        <r>
          <rPr>
            <sz val="10"/>
            <rFont val="Arial"/>
            <family val="2"/>
          </rPr>
          <t xml:space="preserve">======
ID#AAABpywjpOA
    (2025-08-25 15:22:25)
https://www.gbm-france.com/boutique/connectique-de-terre/boulonnerie-inox/rondelles-plates-en-inox/rondelle-plate-m12-en-inox/
	-La Raphinerie</t>
        </r>
      </text>
    </comment>
    <comment ref="A9" authorId="0">
      <text>
        <r>
          <rPr>
            <sz val="10"/>
            <rFont val="Arial"/>
            <family val="2"/>
          </rPr>
          <t xml:space="preserve">======
ID#AAABpywjpOU
    (2025-08-25 15:22:25)
https://www.acton.fr/index.php?ent_id=1&amp;cat_id=2&amp;ni1_id=30&amp;ni2_id=47&amp;ni3_id=71&amp;ni4_id=317&amp;csaction=site%2Fentite%2Fcatalogue%2Fdetail_technique_filtrer&amp;ent_id=1&amp;cat_id=2&amp;ni1_id=30&amp;ni2_id=47&amp;ni3_id=71&amp;ni4_id=317&amp;colonne=9&amp;filtre=5X40&amp;%23=breadcrumb
	-La Raphinerie</t>
        </r>
      </text>
    </comment>
    <comment ref="A18" authorId="0">
      <text>
        <r>
          <rPr>
            <sz val="10"/>
            <rFont val="Arial"/>
            <family val="2"/>
          </rPr>
          <t xml:space="preserve">======
ID#AAABpywjpNs
    (2025-08-25 15:22:25)
https://www.chausson.fr/quincaillerie/vis-bois-rocket-tete-fraisee-torx-acier-zingue-filetage-total-5x50mm-p-685107-1
	-La Raphinerie</t>
        </r>
      </text>
    </comment>
    <comment ref="A20" authorId="0">
      <text>
        <r>
          <rPr>
            <sz val="10"/>
            <rFont val="Arial"/>
            <family val="2"/>
          </rPr>
          <t xml:space="preserve">======
ID#AAABpywjpOM
    (2025-08-25 15:22:25)
https://www.vis-express.fr/vba-vis-bois-agglo-tete-fraisee-tf-torx-filetage-partiel-inox-a2-doc-8231/35025-vba-vis-bois-agglo-inox-a2-tete-fraisee-tf-5x30-filetee-sur-18-torx-t25.html
	-La Raphinerie</t>
        </r>
      </text>
    </comment>
  </commentList>
</comments>
</file>

<file path=xl/sharedStrings.xml><?xml version="1.0" encoding="utf-8"?>
<sst xmlns="http://schemas.openxmlformats.org/spreadsheetml/2006/main" count="585" uniqueCount="374">
  <si>
    <t xml:space="preserve">Sub-system</t>
  </si>
  <si>
    <t xml:space="preserve">Element</t>
  </si>
  <si>
    <t xml:space="preserve">Element in french</t>
  </si>
  <si>
    <t xml:space="preserve">Part</t>
  </si>
  <si>
    <t xml:space="preserve">Process (Ecovinvent 3.8)</t>
  </si>
  <si>
    <t xml:space="preserve">Lifetime/End of life</t>
  </si>
  <si>
    <t xml:space="preserve">Comments</t>
  </si>
  <si>
    <t xml:space="preserve">Wind generator</t>
  </si>
  <si>
    <t xml:space="preserve">Propeller</t>
  </si>
  <si>
    <t xml:space="preserve">Blades</t>
  </si>
  <si>
    <t xml:space="preserve">Pales</t>
  </si>
  <si>
    <t xml:space="preserve">Dry soft wood</t>
  </si>
  <si>
    <t xml:space="preserve">planing, beam, softwood, u=20%-Europe without Switzerland</t>
  </si>
  <si>
    <t xml:space="preserve">With proper annual maintenance and protective tape on the leading edge, the rotor blade is a wear part but can last up to 20 years. A common issue is damage caused by the tail vane or leading-edge erosion due to wind, rain, or hail. Repairs are possible using epoxy resin, which provides good durability. At end of life, the blade can be incinerated or disposed of with wood waste.</t>
  </si>
  <si>
    <t xml:space="preserve">Blades attachment</t>
  </si>
  <si>
    <t xml:space="preserve">FIxation des pales</t>
  </si>
  <si>
    <t xml:space="preserve">Plywood</t>
  </si>
  <si>
    <t xml:space="preserve">plywood production-RER</t>
  </si>
  <si>
    <t xml:space="preserve">Disc and triangle that hold the blades in place</t>
  </si>
  <si>
    <t xml:space="preserve">Stator</t>
  </si>
  <si>
    <t xml:space="preserve">Copper coil</t>
  </si>
  <si>
    <t xml:space="preserve">Bobine de cuivre</t>
  </si>
  <si>
    <t xml:space="preserve">Copper, cathod</t>
  </si>
  <si>
    <t xml:space="preserve">market for copper, cathode-GLO</t>
  </si>
  <si>
    <t xml:space="preserve">Copper recovery is sometimes accepted by metal recyclers, although not always. At end of life, the resin can be burned or melted, allowing copper to be recovered. Without protective paint, the resin degrades under UV exposure and rain, leaving the fiberglass exposed—resulting in a lifespan of around 5 years. If protected, the coating should be renewed every 5 to 10 years, enabling a service life of 20 years or more. Main failure risks include short circuits, impacts, or excessive friction. In most cases, the stator is not recovered, as it tends to break more easily than other components.</t>
  </si>
  <si>
    <t xml:space="preserve">Wire drawing</t>
  </si>
  <si>
    <t xml:space="preserve">wire drawing, copper-RER</t>
  </si>
  <si>
    <t xml:space="preserve">Enamelling</t>
  </si>
  <si>
    <t xml:space="preserve">Revêtement isolant</t>
  </si>
  <si>
    <t xml:space="preserve">Resin</t>
  </si>
  <si>
    <t xml:space="preserve">polyester resin production, unsaturated,RER</t>
  </si>
  <si>
    <t xml:space="preserve">Xylene</t>
  </si>
  <si>
    <t xml:space="preserve">xylene production,RER</t>
  </si>
  <si>
    <t xml:space="preserve">Electricity</t>
  </si>
  <si>
    <t xml:space="preserve">market group for electricity, medium voltage,RER</t>
  </si>
  <si>
    <t xml:space="preserve">Résine</t>
  </si>
  <si>
    <t xml:space="preserve">Polyester resin</t>
  </si>
  <si>
    <t xml:space="preserve">market for polyester resin, unsaturated</t>
  </si>
  <si>
    <t xml:space="preserve">Talc</t>
  </si>
  <si>
    <t xml:space="preserve">steatite quarry operation-RoW</t>
  </si>
  <si>
    <t xml:space="preserve">Glass fibre</t>
  </si>
  <si>
    <t xml:space="preserve">glass fibre production-RER</t>
  </si>
  <si>
    <t xml:space="preserve">Rotor</t>
  </si>
  <si>
    <t xml:space="preserve">Metal disk</t>
  </si>
  <si>
    <t xml:space="preserve">Disque de métal</t>
  </si>
  <si>
    <t xml:space="preserve">Steel, low-alloyed</t>
  </si>
  <si>
    <t xml:space="preserve">permanent magnet production, for electric motor-RER</t>
  </si>
  <si>
    <t xml:space="preserve">Corrosion issues may arise, particularly for neodymium components due to their alloy composition. To prevent this, proper painting and galvanized discs are used. With adequate surface protection, the part can last up to 20 years. It is generally recoverable due to its mechanical strength and is, along with the stator, one of the most valuable components.</t>
  </si>
  <si>
    <t xml:space="preserve">Zinc coat</t>
  </si>
  <si>
    <t xml:space="preserve">zinc coating, pieces-RER</t>
  </si>
  <si>
    <t xml:space="preserve">Magnet</t>
  </si>
  <si>
    <t xml:space="preserve">Aimant</t>
  </si>
  <si>
    <t xml:space="preserve">permanent magnet for motor</t>
  </si>
  <si>
    <t xml:space="preserve">permanent magnet production, for electric motor-GLO</t>
  </si>
  <si>
    <t xml:space="preserve">Hub</t>
  </si>
  <si>
    <t xml:space="preserve">This component is typically recovered from vehicles. If the seal is not watertight, water and particles can infiltrate. When properly sealed, only disassembly and re-greasing are needed, and the part can last up to 20 years.</t>
  </si>
  <si>
    <t xml:space="preserve">Tail</t>
  </si>
  <si>
    <t xml:space="preserve">Vane</t>
  </si>
  <si>
    <t xml:space="preserve">Plaque du safran</t>
  </si>
  <si>
    <t xml:space="preserve">Steel is not recommended due to vibrations that can damage the mounting plate. Low-quality plywood has a lifespan of around 10 years, while high-quality plywood can last up to 20 years. A condition check every 5 years is advised to determine whether repainting is needed. If properly treated from the start, repainting may only be required once during the turbine’s lifetime. The part is easy to replace. If broken, it can be incinerated or disposed of with wood waste.</t>
  </si>
  <si>
    <t xml:space="preserve">Boom pipe</t>
  </si>
  <si>
    <t xml:space="preserve">Tube du safran</t>
  </si>
  <si>
    <t xml:space="preserve">steel production, converter, unalloyed-RER</t>
  </si>
  <si>
    <t xml:space="preserve">Occasional welding defects may occur, but otherwise the component has a service life of up to 20 years.</t>
  </si>
  <si>
    <t xml:space="preserve">Drawing of pipe</t>
  </si>
  <si>
    <t xml:space="preserve">drawing of pipe, steel-RER</t>
  </si>
  <si>
    <t xml:space="preserve">Hinge outer</t>
  </si>
  <si>
    <t xml:space="preserve">Charnière extérieur</t>
  </si>
  <si>
    <t xml:space="preserve">steel production, low-alloyed, hot rolled-RER</t>
  </si>
  <si>
    <t xml:space="preserve">Bracket , support and tail stop</t>
  </si>
  <si>
    <t xml:space="preserve">Equerre, renfort et encocge d'arrêt</t>
  </si>
  <si>
    <t xml:space="preserve">Nacelle</t>
  </si>
  <si>
    <t xml:space="preserve">Yaw bearing</t>
  </si>
  <si>
    <t xml:space="preserve">Pivot d'orientation</t>
  </si>
  <si>
    <t xml:space="preserve">Can last up to 20 years if properly manufactured. However, wear can occur at the pivot point.</t>
  </si>
  <si>
    <t xml:space="preserve">Frame</t>
  </si>
  <si>
    <t xml:space="preserve">Berceau</t>
  </si>
  <si>
    <t xml:space="preserve">Hardware</t>
  </si>
  <si>
    <t xml:space="preserve">Stainless steel hardware</t>
  </si>
  <si>
    <t xml:space="preserve">Boulonnerie inox</t>
  </si>
  <si>
    <t xml:space="preserve">Stainless steel</t>
  </si>
  <si>
    <t xml:space="preserve">steel production, chromium steel 18/8, hot rolled-RER</t>
  </si>
  <si>
    <t xml:space="preserve">No specific issues reported. Has a service life of 20 years but may deform in the event of a fall.</t>
  </si>
  <si>
    <t xml:space="preserve">Average work</t>
  </si>
  <si>
    <t xml:space="preserve">metal working, average for chromium steel product manufacturing-RER</t>
  </si>
  <si>
    <t xml:space="preserve">Zinc coated hardware</t>
  </si>
  <si>
    <t xml:space="preserve">Boulonnerie acier zingué</t>
  </si>
  <si>
    <t xml:space="preserve">20 years service life</t>
  </si>
  <si>
    <t xml:space="preserve">metal working, average for steel product manufacturing-RER</t>
  </si>
  <si>
    <t xml:space="preserve">Other elements</t>
  </si>
  <si>
    <t xml:space="preserve">Moulds</t>
  </si>
  <si>
    <t xml:space="preserve">Moule</t>
  </si>
  <si>
    <t xml:space="preserve">One mold can be used to produce at least five wind turbines. If insufficiently greased, wood may be torn during demolding.</t>
  </si>
  <si>
    <t xml:space="preserve">Acetone</t>
  </si>
  <si>
    <t xml:space="preserve">Coil winder</t>
  </si>
  <si>
    <t xml:space="preserve">Enrouleur de bobine</t>
  </si>
  <si>
    <t xml:space="preserve">10 years of service life </t>
  </si>
  <si>
    <t xml:space="preserve">System</t>
  </si>
  <si>
    <t xml:space="preserve">Lifetime / End of life</t>
  </si>
  <si>
    <t xml:space="preserve">Reference in the manual</t>
  </si>
  <si>
    <t xml:space="preserve">Size</t>
  </si>
  <si>
    <t xml:space="preserve">Attribute</t>
  </si>
  <si>
    <t xml:space="preserve">Formula</t>
  </si>
  <si>
    <t xml:space="preserve">Value</t>
  </si>
  <si>
    <t xml:space="preserve">Unit</t>
  </si>
  <si>
    <t xml:space="preserve">Structure</t>
  </si>
  <si>
    <t xml:space="preserve">Foundation</t>
  </si>
  <si>
    <t xml:space="preserve">Concrete</t>
  </si>
  <si>
    <t xml:space="preserve">Béton</t>
  </si>
  <si>
    <t xml:space="preserve">Foundation for the mast and the guy wires. The quantity of concrete depended on the height of the mast and the diameter of the wind turbine.</t>
  </si>
  <si>
    <t xml:space="preserve">Technically, the foundation can be removed. The concrete block can be crushed, and the reinforcing bars recovered. However, in most cases, it is left in the ground. It is also possible to remove only the upper part and leave the rest buried. The foundation can easily last over 100 years and may be reused if the wind turbine is replaced.</t>
  </si>
  <si>
    <t xml:space="preserve">kg</t>
  </si>
  <si>
    <t xml:space="preserve">concrete block production-RoW</t>
  </si>
  <si>
    <t xml:space="preserve">Concrete reinforcing bar HA10</t>
  </si>
  <si>
    <t xml:space="preserve">Fer à béton HA10</t>
  </si>
  <si>
    <t xml:space="preserve">Reinforcing steel</t>
  </si>
  <si>
    <t xml:space="preserve">Reinforcing bar use to make reinforced concrete. The linear mass come from the european standarts</t>
  </si>
  <si>
    <t xml:space="preserve">L = f(h) D = 10mm</t>
  </si>
  <si>
    <t xml:space="preserve">Linerar mass : 0,617 kg/m</t>
  </si>
  <si>
    <t xml:space="preserve">L * linear mass</t>
  </si>
  <si>
    <t xml:space="preserve">f(h)</t>
  </si>
  <si>
    <t xml:space="preserve">reinforcing steel production</t>
  </si>
  <si>
    <t xml:space="preserve">Anchor</t>
  </si>
  <si>
    <t xml:space="preserve">Ancrage</t>
  </si>
  <si>
    <t xml:space="preserve">Reinforcing bar galvanized use to make the anchor for the guy wires. The linear mass come from the european standarts</t>
  </si>
  <si>
    <t xml:space="preserve">L = 8,5m D = 16mm</t>
  </si>
  <si>
    <t xml:space="preserve">Linerar mass : 1,578 kg/m</t>
  </si>
  <si>
    <t xml:space="preserve">pi*8,5*0,016</t>
  </si>
  <si>
    <t xml:space="preserve">m²</t>
  </si>
  <si>
    <t xml:space="preserve">Mast of height h</t>
  </si>
  <si>
    <t xml:space="preserve">Mast pipe</t>
  </si>
  <si>
    <t xml:space="preserve">Tube du mât</t>
  </si>
  <si>
    <t xml:space="preserve">Steel, unalloyed</t>
  </si>
  <si>
    <t xml:space="preserve">Steel pipes use to build the mast. Sevral diameters are possible, depending of the height of the mast. </t>
  </si>
  <si>
    <t xml:space="preserve">Sometimes galvanized. Has a very long service life and is rarely replaced. Reuse is possible; otherwise, it can be sent to a metal recycler.</t>
  </si>
  <si>
    <t xml:space="preserve">D1 = 88,9 mm
D2 = 114,3 mm
e = 3,2 mm
L1 = f(h)
L2 = f(h</t>
  </si>
  <si>
    <t xml:space="preserve">rho = 7850 kg/m³</t>
  </si>
  <si>
    <t xml:space="preserve">rho*pi*e*((D1-e)*L1 + (D2-e)*L2)
</t>
  </si>
  <si>
    <t xml:space="preserve">//</t>
  </si>
  <si>
    <t xml:space="preserve">Yaw pipe</t>
  </si>
  <si>
    <t xml:space="preserve">Flèche de manoeuvre</t>
  </si>
  <si>
    <t xml:space="preserve">The yaw pipe helps raising the tower when it is lowered. Its diameter depends on the size of the mast and its length is half that of the mast</t>
  </si>
  <si>
    <t xml:space="preserve">e = 3,2 or 2,9 mm
D = 88,9 or 60,3 mm</t>
  </si>
  <si>
    <t xml:space="preserve">rho*pi*h/2*(D-e)*e</t>
  </si>
  <si>
    <t xml:space="preserve">Mast pivot tube</t>
  </si>
  <si>
    <t xml:space="preserve">Tube pivot du mât</t>
  </si>
  <si>
    <t xml:space="preserve">The tube that joins the mast to the wind turbine. Its diameter and it legnt depends on the height of the mast</t>
  </si>
  <si>
    <t xml:space="preserve">e = 5mm
D = 60,3 or 76 mm
L = 395 or 480 mm</t>
  </si>
  <si>
    <t xml:space="preserve">rho*pi*L*(D-e)*e</t>
  </si>
  <si>
    <t xml:space="preserve">Steel swivel pin</t>
  </si>
  <si>
    <t xml:space="preserve">Axe de pivot</t>
  </si>
  <si>
    <t xml:space="preserve">Mast pivot axis. A constant average value,M18, has been taken for the size of the threaded rod.</t>
  </si>
  <si>
    <t xml:space="preserve">M18*1000 mm
L=1 m D=0,018m</t>
  </si>
  <si>
    <t xml:space="preserve">rho*pi*D²*L/4</t>
  </si>
  <si>
    <t xml:space="preserve">pi*D*L</t>
  </si>
  <si>
    <t xml:space="preserve">zinc coating, coils-RER</t>
  </si>
  <si>
    <t xml:space="preserve">Gusset</t>
  </si>
  <si>
    <t xml:space="preserve">Gousset</t>
  </si>
  <si>
    <t xml:space="preserve">Flat iron</t>
  </si>
  <si>
    <t xml:space="preserve">Gusset plates welded to the mast. These are used to attach the shrouds to the mast.</t>
  </si>
  <si>
    <t xml:space="preserve">50*8 mm
L = 0,113*h + 0,68</t>
  </si>
  <si>
    <t xml:space="preserve">rho*L*0,05*0,008</t>
  </si>
  <si>
    <t xml:space="preserve">Base</t>
  </si>
  <si>
    <t xml:space="preserve">Embase</t>
  </si>
  <si>
    <t xml:space="preserve">Used to secure the mast to the concrete block</t>
  </si>
  <si>
    <t xml:space="preserve">100*10 mm
L = 1m</t>
  </si>
  <si>
    <t xml:space="preserve">rho*L*0,1*0,01</t>
  </si>
  <si>
    <t xml:space="preserve">Iron corner</t>
  </si>
  <si>
    <t xml:space="preserve">60*60*8 mm 
L = 1m</t>
  </si>
  <si>
    <t xml:space="preserve">rho*L*0,06*0,008*2</t>
  </si>
  <si>
    <t xml:space="preserve">Welding</t>
  </si>
  <si>
    <t xml:space="preserve">Soudure</t>
  </si>
  <si>
    <t xml:space="preserve">The total length of the weld is highly variable. The value used corresponds to the use of a whole pack of welding rods, i.e. 25 rods of 30 cm.</t>
  </si>
  <si>
    <t xml:space="preserve">5 m </t>
  </si>
  <si>
    <t xml:space="preserve">welding, arc, steel-RER</t>
  </si>
  <si>
    <t xml:space="preserve">Rigging</t>
  </si>
  <si>
    <t xml:space="preserve">Zinc coated hardaware</t>
  </si>
  <si>
    <t xml:space="preserve">Quincaillerie zinguée</t>
  </si>
  <si>
    <t xml:space="preserve">All the screws, nuts, cable clamp etc. used to build the structure. Most of the weight come from the hardware for the rigging. Pieces are galvanized.</t>
  </si>
  <si>
    <t xml:space="preserve">Hardware components are difficult to reuse. Regular inspection of tightening is recommended. They can last up to 20 years, with replacement carried out if necessary.</t>
  </si>
  <si>
    <t xml:space="preserve">0,92*h+1,28</t>
  </si>
  <si>
    <t xml:space="preserve">0,0552*h+0,0771</t>
  </si>
  <si>
    <t xml:space="preserve">Guy wire</t>
  </si>
  <si>
    <t xml:space="preserve">Hauban</t>
  </si>
  <si>
    <t xml:space="preserve">The shrouds keep the mast upright. Each layer consists of four shrouds, located at the front, back and sides of the turbine. The number of layers depends on the height of the mast. We assume a constant diameter but it varies according to the manual. </t>
  </si>
  <si>
    <t xml:space="preserve">Very long service life. However, in marine environments, it may be shorter. Rust can sometimes cause it to seize, requiring replacement after approximately 15 years. It is recoverable, and if broken, it can be sent to a metal recycler.</t>
  </si>
  <si>
    <t xml:space="preserve">D = 6 mm
L = 38,6 + -2,56*h + 0,564*h^2</t>
  </si>
  <si>
    <t xml:space="preserve">rho = 7850 kg/m³
k = 0,51 (fill factor)</t>
  </si>
  <si>
    <t xml:space="preserve">k * rho * pi * D²/4 * L</t>
  </si>
  <si>
    <t xml:space="preserve">wire drawing, steel-RER</t>
  </si>
  <si>
    <t xml:space="preserve">The guy wires are coated with zinc to protect them. </t>
  </si>
  <si>
    <t xml:space="preserve">D*pi*L</t>
  </si>
  <si>
    <t xml:space="preserve">Guy wire distributor</t>
  </si>
  <si>
    <t xml:space="preserve">Répartiteur haubans</t>
  </si>
  <si>
    <t xml:space="preserve">Used to attach guy wires to anchors on concrete blocks</t>
  </si>
  <si>
    <t xml:space="preserve">150*8 mm 
L = 1200 mm</t>
  </si>
  <si>
    <t xml:space="preserve">Linear mass = 9,42 kg/m</t>
  </si>
  <si>
    <t xml:space="preserve">L * Linear mass</t>
  </si>
  <si>
    <t xml:space="preserve">Cable 48V</t>
  </si>
  <si>
    <t xml:space="preserve">Copper wire</t>
  </si>
  <si>
    <t xml:space="preserve">Câble en cuivre</t>
  </si>
  <si>
    <t xml:space="preserve">Copper cathode</t>
  </si>
  <si>
    <t xml:space="preserve">Cable between generator and rectifier</t>
  </si>
  <si>
    <t xml:space="preserve">The cable can become twisted. If it is not unplugged and untwisted regularly, excessive twisting may occur, potentially causing a short circuit and damaging the stator. With proper maintenance, the cable does not need to be replaced and can last up to 20 years.</t>
  </si>
  <si>
    <t xml:space="preserve">S = 4 mm²
n = 3 (Three-phase)</t>
  </si>
  <si>
    <t xml:space="preserve">rho = 8960 kg/m³</t>
  </si>
  <si>
    <t xml:space="preserve">rho * S * h * n</t>
  </si>
  <si>
    <t xml:space="preserve">Plastic</t>
  </si>
  <si>
    <t xml:space="preserve">Plastique</t>
  </si>
  <si>
    <t xml:space="preserve">Polyethylene</t>
  </si>
  <si>
    <t xml:space="preserve">Electrical insulation</t>
  </si>
  <si>
    <t xml:space="preserve">D = 11,9 mm</t>
  </si>
  <si>
    <t xml:space="preserve">rho = 950 kg/m³</t>
  </si>
  <si>
    <t xml:space="preserve">polyethylene production, high density, granulate-RER</t>
  </si>
  <si>
    <t xml:space="preserve">Extrusion plastic</t>
  </si>
  <si>
    <t xml:space="preserve">extrusion, plastic pipes-RER</t>
  </si>
  <si>
    <t xml:space="preserve">Machine</t>
  </si>
  <si>
    <t xml:space="preserve">unit</t>
  </si>
  <si>
    <t xml:space="preserve">rolling mill production-RER</t>
  </si>
  <si>
    <t xml:space="preserve">Tap water</t>
  </si>
  <si>
    <t xml:space="preserve">17,424*h/12</t>
  </si>
  <si>
    <t xml:space="preserve">market for tap water-Europe without Switzerland</t>
  </si>
  <si>
    <t xml:space="preserve">Electronics</t>
  </si>
  <si>
    <t xml:space="preserve">Battery</t>
  </si>
  <si>
    <t xml:space="preserve">Lead acid Battery</t>
  </si>
  <si>
    <t xml:space="preserve">Batterie plomb</t>
  </si>
  <si>
    <t xml:space="preserve">Battery, lead acid, rechargeable, stationary</t>
  </si>
  <si>
    <t xml:space="preserve">Lead-acid batteries have a lifespan of 5 to 10 years. There is limited feedback on lithium-based batteries due to their relatively recent adoption. At end of life, both types can be sent to a metal recycler.</t>
  </si>
  <si>
    <t xml:space="preserve">market for battery, lead acid, rechargeable, stationary-GLO</t>
  </si>
  <si>
    <t xml:space="preserve">Resistor</t>
  </si>
  <si>
    <t xml:space="preserve">Dump load</t>
  </si>
  <si>
    <t xml:space="preserve">Résistance de décharge</t>
  </si>
  <si>
    <t xml:space="preserve">Resistor, auxilliaries and energy use</t>
  </si>
  <si>
    <t xml:space="preserve">Recyclé au fer. 20 ans </t>
  </si>
  <si>
    <t xml:space="preserve">resistor production, auxilliaries and energy use-GLO</t>
  </si>
  <si>
    <t xml:space="preserve">Inverter</t>
  </si>
  <si>
    <t xml:space="preserve">Inverter 500 W</t>
  </si>
  <si>
    <t xml:space="preserve">Onduleur</t>
  </si>
  <si>
    <t xml:space="preserve">Inverter, 0.5kW</t>
  </si>
  <si>
    <t xml:space="preserve">A common issue is voltage spikes, particularly due to lightning. Capacitors have a lifespan of 10 to 15 years. As they are difficult to replace, the entire component is often discarded. However, it is possible to dismantle certain parts, such as the heat sink, and send the rest to a metal recycler.</t>
  </si>
  <si>
    <t xml:space="preserve">inverter production, 0.5kW-RER</t>
  </si>
  <si>
    <t xml:space="preserve">Charge</t>
  </si>
  <si>
    <t xml:space="preserve">Components</t>
  </si>
  <si>
    <t xml:space="preserve">Composants</t>
  </si>
  <si>
    <t xml:space="preserve">Capacitors</t>
  </si>
  <si>
    <t xml:space="preserve">market for capacitor, auxilliaries and energy use</t>
  </si>
  <si>
    <t xml:space="preserve">controller</t>
  </si>
  <si>
    <t xml:space="preserve">Resistors, metal film</t>
  </si>
  <si>
    <t xml:space="preserve">market for resistor, metal film type, through-hole mounting</t>
  </si>
  <si>
    <t xml:space="preserve">(OSWACC)</t>
  </si>
  <si>
    <t xml:space="preserve">Resistors, wirewound</t>
  </si>
  <si>
    <t xml:space="preserve">market for resistor, wirewound, through-hole mounting</t>
  </si>
  <si>
    <t xml:space="preserve">Potentiometer</t>
  </si>
  <si>
    <t xml:space="preserve">market for potentiometer, unspecified</t>
  </si>
  <si>
    <t xml:space="preserve">Diodes</t>
  </si>
  <si>
    <t xml:space="preserve">market for diode, glass-, for through-hole mounting</t>
  </si>
  <si>
    <t xml:space="preserve">Transistors</t>
  </si>
  <si>
    <t xml:space="preserve">market for transistor, auxilliaries and energy use</t>
  </si>
  <si>
    <t xml:space="preserve">Integrated circuits</t>
  </si>
  <si>
    <t xml:space="preserve">market for integrated circuit, logic type</t>
  </si>
  <si>
    <t xml:space="preserve">PCB</t>
  </si>
  <si>
    <t xml:space="preserve">market for printed wiring board, through-hole mounted, unspecified, Pb free</t>
  </si>
  <si>
    <t xml:space="preserve">Soldering Tin</t>
  </si>
  <si>
    <t xml:space="preserve">tin production, RoW</t>
  </si>
  <si>
    <t xml:space="preserve">Heatsink</t>
  </si>
  <si>
    <t xml:space="preserve">Dissipateur thermique</t>
  </si>
  <si>
    <t xml:space="preserve">Aluminium for heatsink</t>
  </si>
  <si>
    <t xml:space="preserve">market for aluminium, primary, ingot</t>
  </si>
  <si>
    <t xml:space="preserve">Extrusion of aluminium</t>
  </si>
  <si>
    <t xml:space="preserve">market for impact extrusion of aluminium, 1 stroke</t>
  </si>
  <si>
    <t xml:space="preserve">Threading of heatsink</t>
  </si>
  <si>
    <t xml:space="preserve">market for metal working, average for aluminium product manufacturing</t>
  </si>
  <si>
    <t xml:space="preserve">Anodization of heatsink</t>
  </si>
  <si>
    <t xml:space="preserve">market for anodising, aluminium sheet</t>
  </si>
  <si>
    <t xml:space="preserve">Mounting clips</t>
  </si>
  <si>
    <t xml:space="preserve">Fixation</t>
  </si>
  <si>
    <t xml:space="preserve">Steel for transistor mounting clips</t>
  </si>
  <si>
    <t xml:space="preserve">market for steel, low-alloyed, hot rolled</t>
  </si>
  <si>
    <t xml:space="preserve">Shaping of transistor mounting clips</t>
  </si>
  <si>
    <t xml:space="preserve">market for metal working, average for steel product manufacturing</t>
  </si>
  <si>
    <t xml:space="preserve">Case</t>
  </si>
  <si>
    <t xml:space="preserve">Boîte</t>
  </si>
  <si>
    <t xml:space="preserve">ABS case</t>
  </si>
  <si>
    <t xml:space="preserve">market for acrylonitrile-butadiene-styrene copolymer</t>
  </si>
  <si>
    <t xml:space="preserve">Connectors</t>
  </si>
  <si>
    <t xml:space="preserve">Connecteurs</t>
  </si>
  <si>
    <t xml:space="preserve">market for electric connector, peripheral type buss</t>
  </si>
  <si>
    <t xml:space="preserve">Switch</t>
  </si>
  <si>
    <t xml:space="preserve">market for switch, toggle type</t>
  </si>
  <si>
    <t xml:space="preserve">Temp. Sensor cable</t>
  </si>
  <si>
    <t xml:space="preserve">cable production, connector for computer, without plugs</t>
  </si>
  <si>
    <t xml:space="preserve">Rectifier</t>
  </si>
  <si>
    <t xml:space="preserve">Redresseur</t>
  </si>
  <si>
    <t xml:space="preserve">Diode, glass-, for surface-mounting</t>
  </si>
  <si>
    <t xml:space="preserve">Rarely requires replacement and has an estimated service life of 20 years. At end of life, it can be sent to a metal recycler.</t>
  </si>
  <si>
    <t xml:space="preserve">diode production, glass-, for surface-mounting-GLO</t>
  </si>
  <si>
    <t xml:space="preserve">Copper</t>
  </si>
  <si>
    <t xml:space="preserve">Polycarbonate</t>
  </si>
  <si>
    <t xml:space="preserve">market for polycarbonate-GLO</t>
  </si>
  <si>
    <t xml:space="preserve">Rectifier heatsink</t>
  </si>
  <si>
    <t xml:space="preserve">Dissipateur thermique du redresseur</t>
  </si>
  <si>
    <t xml:space="preserve">Aluminium, primary, ingot</t>
  </si>
  <si>
    <t xml:space="preserve">Can be recovered from an inverter. Recyclable, can be disposed of in an aluminum recycling bin.</t>
  </si>
  <si>
    <t xml:space="preserve">market for aluminium, primary, ingot-IAI Area, EU27 &amp; EFTA</t>
  </si>
  <si>
    <t xml:space="preserve">Cables</t>
  </si>
  <si>
    <t xml:space="preserve">cable, three-conductor cable</t>
  </si>
  <si>
    <t xml:space="preserve">Can be sent to a metal recycler, either bare or with insulation. If no issues arise, it does not require replacement and can last up to 20 years.</t>
  </si>
  <si>
    <t xml:space="preserve">market for cable, unspecified</t>
  </si>
  <si>
    <t xml:space="preserve">Cable, one-conductor</t>
  </si>
  <si>
    <t xml:space="preserve">Circuit breaker</t>
  </si>
  <si>
    <t xml:space="preserve">Disjoncteur</t>
  </si>
  <si>
    <t xml:space="preserve">three poles circuit breaker</t>
  </si>
  <si>
    <t xml:space="preserve">Easily last 20 years. Can be sent to a metal recycler.</t>
  </si>
  <si>
    <t xml:space="preserve">Transport</t>
  </si>
  <si>
    <t xml:space="preserve">Container</t>
  </si>
  <si>
    <t xml:space="preserve">Contenaire</t>
  </si>
  <si>
    <t xml:space="preserve">market for transport, freight, sea, container ship-GLO</t>
  </si>
  <si>
    <t xml:space="preserve">Barge</t>
  </si>
  <si>
    <t xml:space="preserve">Péniche</t>
  </si>
  <si>
    <t xml:space="preserve">market for transport, freight, inland waterways, barge tanker-RER</t>
  </si>
  <si>
    <t xml:space="preserve">Train</t>
  </si>
  <si>
    <t xml:space="preserve">market group for transport, freight train-GLO</t>
  </si>
  <si>
    <t xml:space="preserve">Lorry</t>
  </si>
  <si>
    <t xml:space="preserve">Camion</t>
  </si>
  <si>
    <t xml:space="preserve">market group for transport, freight, lorry, unspecified-GLO</t>
  </si>
  <si>
    <t xml:space="preserve">Light commercial vehicle</t>
  </si>
  <si>
    <t xml:space="preserve">Camionette</t>
  </si>
  <si>
    <t xml:space="preserve">market group for transport, freight, light commercial vehicle-GLO</t>
  </si>
  <si>
    <t xml:space="preserve">Height of the mast in m</t>
  </si>
  <si>
    <t xml:space="preserve">Gusset in m</t>
  </si>
  <si>
    <t xml:space="preserve">Chevilles à frapper</t>
  </si>
  <si>
    <t xml:space="preserve">Ecrou</t>
  </si>
  <si>
    <t xml:space="preserve">Tendeur chape</t>
  </si>
  <si>
    <t xml:space="preserve">Manilles</t>
  </si>
  <si>
    <t xml:space="preserve">Serre câbles (only 6mm)</t>
  </si>
  <si>
    <t xml:space="preserve">Cosse coeur (6mm)</t>
  </si>
  <si>
    <t xml:space="preserve">Zinc hardware in kg</t>
  </si>
  <si>
    <t xml:space="preserve">Area coated in m (specific surface = 60 m²/t) </t>
  </si>
  <si>
    <t xml:space="preserve">Diam</t>
  </si>
  <si>
    <t xml:space="preserve">1m80</t>
  </si>
  <si>
    <t xml:space="preserve">2m40</t>
  </si>
  <si>
    <t xml:space="preserve">3m</t>
  </si>
  <si>
    <t xml:space="preserve">3m60</t>
  </si>
  <si>
    <t xml:space="preserve">4m20</t>
  </si>
  <si>
    <t xml:space="preserve">Masse volumique acier [kg/m³]</t>
  </si>
  <si>
    <t xml:space="preserve">Tiges filetées inox</t>
  </si>
  <si>
    <t xml:space="preserve">M12 x 1500</t>
  </si>
  <si>
    <t xml:space="preserve">M14 x 2000</t>
  </si>
  <si>
    <t xml:space="preserve">Poids [kg]</t>
  </si>
  <si>
    <t xml:space="preserve">Nb écrous inox</t>
  </si>
  <si>
    <t xml:space="preserve">Nb rondelles inox</t>
  </si>
  <si>
    <t xml:space="preserve">Vis inox</t>
  </si>
  <si>
    <t xml:space="preserve">Ø 5x40mm</t>
  </si>
  <si>
    <t xml:space="preserve">Ø 5x50mm</t>
  </si>
  <si>
    <t xml:space="preserve">Ø 5x60mm</t>
  </si>
  <si>
    <t xml:space="preserve">Ø 5x75mm</t>
  </si>
  <si>
    <t xml:space="preserve">Quantité vis inox</t>
  </si>
  <si>
    <t xml:space="preserve">Poids inox [kg]</t>
  </si>
  <si>
    <t xml:space="preserve">Vis fusée</t>
  </si>
  <si>
    <t xml:space="preserve">M12 x 40mm</t>
  </si>
  <si>
    <t xml:space="preserve">M14 x 40mm</t>
  </si>
  <si>
    <t xml:space="preserve">Vis safran</t>
  </si>
  <si>
    <t xml:space="preserve">M6 x 30 mm</t>
  </si>
  <si>
    <t xml:space="preserve">Vis 5 x 50 mm</t>
  </si>
  <si>
    <t xml:space="preserve">1 boîte (100 vis)</t>
  </si>
  <si>
    <t xml:space="preserve">Vis 5 x 30 mm</t>
  </si>
  <si>
    <t xml:space="preserve">Tiges filetées acier zingué</t>
  </si>
  <si>
    <t xml:space="preserve">M10 x 1000 et M12 x 1000 mm</t>
  </si>
  <si>
    <t xml:space="preserve">Écrous acier zingué</t>
  </si>
  <si>
    <t xml:space="preserve">10 en M10</t>
  </si>
  <si>
    <t xml:space="preserve">10 en M10 et 3 en M12</t>
  </si>
  <si>
    <t xml:space="preserve">Rondelles acier zingué</t>
  </si>
  <si>
    <t xml:space="preserve">2 en M10</t>
  </si>
  <si>
    <t xml:space="preserve">Poids zinc [kg]</t>
  </si>
</sst>
</file>

<file path=xl/styles.xml><?xml version="1.0" encoding="utf-8"?>
<styleSheet xmlns="http://schemas.openxmlformats.org/spreadsheetml/2006/main">
  <numFmts count="6">
    <numFmt numFmtId="164" formatCode="General"/>
    <numFmt numFmtId="165" formatCode="0.0"/>
    <numFmt numFmtId="166" formatCode="0.00"/>
    <numFmt numFmtId="167" formatCode="0.000"/>
    <numFmt numFmtId="168" formatCode="0.00E+00"/>
    <numFmt numFmtId="169" formatCode="General"/>
  </numFmts>
  <fonts count="17">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b val="true"/>
      <sz val="12"/>
      <color rgb="FFFFFFFF"/>
      <name val="Arial"/>
      <family val="0"/>
      <charset val="1"/>
    </font>
    <font>
      <sz val="11"/>
      <color rgb="FF000000"/>
      <name val="Arial"/>
      <family val="0"/>
      <charset val="1"/>
    </font>
    <font>
      <sz val="10"/>
      <color theme="1"/>
      <name val="Arial"/>
      <family val="0"/>
      <charset val="1"/>
    </font>
    <font>
      <sz val="11"/>
      <color theme="1"/>
      <name val="Arial"/>
      <family val="0"/>
      <charset val="1"/>
    </font>
    <font>
      <sz val="10"/>
      <name val="Arial"/>
      <family val="2"/>
    </font>
    <font>
      <b val="true"/>
      <sz val="10"/>
      <color rgb="FFFFFFFF"/>
      <name val="Arial"/>
      <family val="0"/>
      <charset val="1"/>
    </font>
    <font>
      <sz val="8"/>
      <color rgb="FF000000"/>
      <name val="Arial"/>
      <family val="0"/>
      <charset val="1"/>
    </font>
    <font>
      <sz val="8"/>
      <color theme="1"/>
      <name val="Arial"/>
      <family val="0"/>
      <charset val="1"/>
    </font>
    <font>
      <sz val="14"/>
      <color rgb="FF595959"/>
      <name val="Arial"/>
      <family val="2"/>
    </font>
    <font>
      <sz val="9"/>
      <color rgb="FF595959"/>
      <name val="Arial"/>
      <family val="2"/>
    </font>
    <font>
      <b val="true"/>
      <sz val="8"/>
      <color theme="1"/>
      <name val="Arial"/>
      <family val="0"/>
      <charset val="1"/>
    </font>
    <font>
      <b val="true"/>
      <sz val="10"/>
      <color theme="1"/>
      <name val="Arial"/>
      <family val="0"/>
      <charset val="1"/>
    </font>
  </fonts>
  <fills count="19">
    <fill>
      <patternFill patternType="none"/>
    </fill>
    <fill>
      <patternFill patternType="gray125"/>
    </fill>
    <fill>
      <patternFill patternType="solid">
        <fgColor rgb="FF073763"/>
        <bgColor rgb="FF0B5394"/>
      </patternFill>
    </fill>
    <fill>
      <patternFill patternType="solid">
        <fgColor rgb="FF0B5394"/>
        <bgColor rgb="FF073763"/>
      </patternFill>
    </fill>
    <fill>
      <patternFill patternType="solid">
        <fgColor rgb="FF9FC5E8"/>
        <bgColor rgb="FFA4C2F4"/>
      </patternFill>
    </fill>
    <fill>
      <patternFill patternType="solid">
        <fgColor rgb="FF6FA8DC"/>
        <bgColor rgb="FF9FC5E8"/>
      </patternFill>
    </fill>
    <fill>
      <patternFill patternType="solid">
        <fgColor rgb="FF3D85C6"/>
        <bgColor rgb="FF4285F4"/>
      </patternFill>
    </fill>
    <fill>
      <patternFill patternType="solid">
        <fgColor rgb="FFA4C2F4"/>
        <bgColor rgb="FF9FC5E8"/>
      </patternFill>
    </fill>
    <fill>
      <patternFill patternType="solid">
        <fgColor rgb="FFFFFFFF"/>
        <bgColor rgb="FFFFFFCC"/>
      </patternFill>
    </fill>
    <fill>
      <patternFill patternType="solid">
        <fgColor rgb="FF274E13"/>
        <bgColor rgb="FF333333"/>
      </patternFill>
    </fill>
    <fill>
      <patternFill patternType="solid">
        <fgColor rgb="FF38761D"/>
        <bgColor rgb="FF274E13"/>
      </patternFill>
    </fill>
    <fill>
      <patternFill patternType="solid">
        <fgColor rgb="FFB6D7A8"/>
        <bgColor rgb="FFBFBFBF"/>
      </patternFill>
    </fill>
    <fill>
      <patternFill patternType="solid">
        <fgColor rgb="FF93C47D"/>
        <bgColor rgb="FFB6D7A8"/>
      </patternFill>
    </fill>
    <fill>
      <patternFill patternType="solid">
        <fgColor rgb="FF6AA84F"/>
        <bgColor rgb="FF93C47D"/>
      </patternFill>
    </fill>
    <fill>
      <patternFill patternType="solid">
        <fgColor rgb="FF783F04"/>
        <bgColor rgb="FF993366"/>
      </patternFill>
    </fill>
    <fill>
      <patternFill patternType="solid">
        <fgColor rgb="FFE69138"/>
        <bgColor rgb="FFFF8080"/>
      </patternFill>
    </fill>
    <fill>
      <patternFill patternType="solid">
        <fgColor rgb="FFF6B26B"/>
        <bgColor rgb="FFF9CB9C"/>
      </patternFill>
    </fill>
    <fill>
      <patternFill patternType="solid">
        <fgColor rgb="FFB45F06"/>
        <bgColor rgb="FF783F04"/>
      </patternFill>
    </fill>
    <fill>
      <patternFill patternType="solid">
        <fgColor rgb="FFF9CB9C"/>
        <bgColor rgb="FFF6B26B"/>
      </patternFill>
    </fill>
  </fills>
  <borders count="8">
    <border diagonalUp="false" diagonalDown="false">
      <left/>
      <right/>
      <top/>
      <bottom/>
      <diagonal/>
    </border>
    <border diagonalUp="false" diagonalDown="false">
      <left/>
      <right style="thin"/>
      <top/>
      <bottom/>
      <diagonal/>
    </border>
    <border diagonalUp="false" diagonalDown="false">
      <left style="thin"/>
      <right style="thin"/>
      <top/>
      <bottom/>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2"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6" borderId="2" xfId="0" applyFont="true" applyBorder="true" applyAlignment="true" applyProtection="false">
      <alignment horizontal="general" vertical="top" textRotation="0" wrapText="true" indent="0" shrinkToFit="false"/>
      <protection locked="true" hidden="false"/>
    </xf>
    <xf numFmtId="164" fontId="8" fillId="4" borderId="2" xfId="0" applyFont="true" applyBorder="true" applyAlignment="true" applyProtection="false">
      <alignment horizontal="general" vertical="top" textRotation="0" wrapText="true" indent="0" shrinkToFit="false"/>
      <protection locked="true" hidden="false"/>
    </xf>
    <xf numFmtId="164" fontId="7" fillId="4" borderId="2"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general" vertical="top" textRotation="0" wrapText="true" indent="0" shrinkToFit="false"/>
      <protection locked="true" hidden="false"/>
    </xf>
    <xf numFmtId="164" fontId="7" fillId="7" borderId="2" xfId="0" applyFont="true" applyBorder="true" applyAlignment="true" applyProtection="false">
      <alignment horizontal="center" vertical="top" textRotation="0" wrapText="true" indent="0" shrinkToFit="false"/>
      <protection locked="true" hidden="false"/>
    </xf>
    <xf numFmtId="164" fontId="7" fillId="5" borderId="2" xfId="0" applyFont="true" applyBorder="true" applyAlignment="true" applyProtection="false">
      <alignment horizontal="center" vertical="top" textRotation="0" wrapText="true" indent="0" shrinkToFit="false"/>
      <protection locked="true" hidden="false"/>
    </xf>
    <xf numFmtId="164" fontId="7" fillId="8" borderId="3" xfId="0" applyFont="true" applyBorder="true" applyAlignment="true" applyProtection="false">
      <alignment horizontal="general" vertical="top" textRotation="0" wrapText="true" indent="0" shrinkToFit="false"/>
      <protection locked="true" hidden="false"/>
    </xf>
    <xf numFmtId="164" fontId="8" fillId="8" borderId="3" xfId="0" applyFont="true" applyBorder="tru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6" fillId="10" borderId="2" xfId="0" applyFont="true" applyBorder="true" applyAlignment="true" applyProtection="false">
      <alignment horizontal="general" vertical="top" textRotation="0" wrapText="true" indent="0" shrinkToFit="false"/>
      <protection locked="true" hidden="false"/>
    </xf>
    <xf numFmtId="164" fontId="7" fillId="11" borderId="2" xfId="0" applyFont="true" applyBorder="true" applyAlignment="true" applyProtection="false">
      <alignment horizontal="general" vertical="top" textRotation="0" wrapText="true" indent="0" shrinkToFit="false"/>
      <protection locked="true" hidden="false"/>
    </xf>
    <xf numFmtId="164" fontId="7" fillId="12" borderId="2" xfId="0" applyFont="true" applyBorder="true" applyAlignment="true" applyProtection="false">
      <alignment horizontal="general" vertical="top" textRotation="0" wrapText="true" indent="0" shrinkToFit="false"/>
      <protection locked="true" hidden="false"/>
    </xf>
    <xf numFmtId="165" fontId="7" fillId="12" borderId="2" xfId="0" applyFont="true" applyBorder="true" applyAlignment="true" applyProtection="false">
      <alignment horizontal="general" vertical="top" textRotation="0" wrapText="true" indent="0" shrinkToFit="false"/>
      <protection locked="true" hidden="false"/>
    </xf>
    <xf numFmtId="165" fontId="7" fillId="12" borderId="2" xfId="0" applyFont="true" applyBorder="true" applyAlignment="true" applyProtection="false">
      <alignment horizontal="right" vertical="top" textRotation="0" wrapText="true" indent="0" shrinkToFit="false"/>
      <protection locked="true" hidden="false"/>
    </xf>
    <xf numFmtId="164" fontId="7" fillId="9" borderId="2" xfId="0" applyFont="true" applyBorder="true" applyAlignment="true" applyProtection="false">
      <alignment horizontal="general" vertical="top" textRotation="0" wrapText="true" indent="0" shrinkToFit="false"/>
      <protection locked="true" hidden="false"/>
    </xf>
    <xf numFmtId="164" fontId="7" fillId="10" borderId="2" xfId="0" applyFont="true" applyBorder="true" applyAlignment="true" applyProtection="false">
      <alignment horizontal="general" vertical="top" textRotation="0" wrapText="true" indent="0" shrinkToFit="false"/>
      <protection locked="true" hidden="false"/>
    </xf>
    <xf numFmtId="165" fontId="7" fillId="11" borderId="2" xfId="0" applyFont="true" applyBorder="true" applyAlignment="true" applyProtection="false">
      <alignment horizontal="general" vertical="top" textRotation="0" wrapText="true" indent="0" shrinkToFit="false"/>
      <protection locked="true" hidden="false"/>
    </xf>
    <xf numFmtId="166" fontId="7" fillId="11" borderId="2" xfId="0" applyFont="true" applyBorder="true" applyAlignment="true" applyProtection="false">
      <alignment horizontal="general" vertical="top" textRotation="0" wrapText="true" indent="0" shrinkToFit="false"/>
      <protection locked="true" hidden="false"/>
    </xf>
    <xf numFmtId="167" fontId="7" fillId="11" borderId="2" xfId="0" applyFont="true" applyBorder="true" applyAlignment="true" applyProtection="false">
      <alignment horizontal="general" vertical="top" textRotation="0" wrapText="true" indent="0" shrinkToFit="false"/>
      <protection locked="true" hidden="false"/>
    </xf>
    <xf numFmtId="164" fontId="8" fillId="13" borderId="2" xfId="0" applyFont="true" applyBorder="true" applyAlignment="true" applyProtection="false">
      <alignment horizontal="general" vertical="top" textRotation="0" wrapText="true" indent="0" shrinkToFit="false"/>
      <protection locked="true" hidden="false"/>
    </xf>
    <xf numFmtId="164" fontId="7" fillId="12" borderId="2" xfId="0" applyFont="true" applyBorder="true" applyAlignment="true" applyProtection="false">
      <alignment horizontal="right" vertical="top" textRotation="0" wrapText="true" indent="0" shrinkToFit="false"/>
      <protection locked="true" hidden="false"/>
    </xf>
    <xf numFmtId="164" fontId="7" fillId="13" borderId="2" xfId="0" applyFont="true" applyBorder="true" applyAlignment="true" applyProtection="false">
      <alignment horizontal="general" vertical="top" textRotation="0" wrapText="true" indent="0" shrinkToFit="false"/>
      <protection locked="true" hidden="false"/>
    </xf>
    <xf numFmtId="164" fontId="7" fillId="12" borderId="2" xfId="0" applyFont="true" applyBorder="true" applyAlignment="true" applyProtection="false">
      <alignment horizontal="center" vertical="top" textRotation="0" wrapText="true" indent="0" shrinkToFit="false"/>
      <protection locked="true" hidden="false"/>
    </xf>
    <xf numFmtId="165" fontId="7" fillId="11" borderId="2" xfId="0" applyFont="true" applyBorder="true" applyAlignment="true" applyProtection="false">
      <alignment horizontal="right" vertical="top" textRotation="0" wrapText="true" indent="0" shrinkToFit="false"/>
      <protection locked="true" hidden="false"/>
    </xf>
    <xf numFmtId="164" fontId="7" fillId="11" borderId="2" xfId="0" applyFont="true" applyBorder="true" applyAlignment="true" applyProtection="false">
      <alignment horizontal="center" vertical="top" textRotation="0" wrapText="true" indent="0" shrinkToFit="false"/>
      <protection locked="true" hidden="false"/>
    </xf>
    <xf numFmtId="164" fontId="7" fillId="12" borderId="2" xfId="0" applyFont="true" applyBorder="true" applyAlignment="true" applyProtection="false">
      <alignment horizontal="general" vertical="top" textRotation="0" wrapText="false" indent="0" shrinkToFit="false"/>
      <protection locked="true" hidden="false"/>
    </xf>
    <xf numFmtId="164" fontId="8" fillId="11" borderId="2" xfId="0" applyFont="true" applyBorder="true" applyAlignment="true" applyProtection="false">
      <alignment horizontal="general" vertical="top" textRotation="0" wrapText="true" indent="0" shrinkToFit="false"/>
      <protection locked="true" hidden="false"/>
    </xf>
    <xf numFmtId="164" fontId="8" fillId="10" borderId="2" xfId="0" applyFont="true" applyBorder="true" applyAlignment="true" applyProtection="false">
      <alignment horizontal="general" vertical="top" textRotation="0" wrapText="true" indent="0" shrinkToFit="false"/>
      <protection locked="true" hidden="false"/>
    </xf>
    <xf numFmtId="164" fontId="7" fillId="11" borderId="2" xfId="0" applyFont="true" applyBorder="true" applyAlignment="true" applyProtection="false">
      <alignment horizontal="right" vertical="top" textRotation="0" wrapText="true" indent="0" shrinkToFit="false"/>
      <protection locked="true" hidden="false"/>
    </xf>
    <xf numFmtId="164" fontId="7" fillId="11" borderId="2" xfId="0" applyFont="true" applyBorder="true" applyAlignment="true" applyProtection="false">
      <alignment horizontal="left" vertical="top" textRotation="0" wrapText="true" indent="0" shrinkToFit="false"/>
      <protection locked="true" hidden="false"/>
    </xf>
    <xf numFmtId="164" fontId="8" fillId="12" borderId="2" xfId="0" applyFont="true" applyBorder="true" applyAlignment="true" applyProtection="false">
      <alignment horizontal="general" vertical="top" textRotation="0" wrapText="true" indent="0" shrinkToFit="false"/>
      <protection locked="true" hidden="false"/>
    </xf>
    <xf numFmtId="164" fontId="7" fillId="12" borderId="2" xfId="0" applyFont="true" applyBorder="true" applyAlignment="true" applyProtection="false">
      <alignment horizontal="left" vertical="top" textRotation="0" wrapText="true" indent="0" shrinkToFit="false"/>
      <protection locked="true" hidden="false"/>
    </xf>
    <xf numFmtId="168" fontId="7" fillId="11" borderId="2" xfId="0" applyFont="true" applyBorder="true" applyAlignment="true" applyProtection="false">
      <alignment horizontal="general" vertical="top" textRotation="0" wrapText="true" indent="0" shrinkToFit="false"/>
      <protection locked="true" hidden="false"/>
    </xf>
    <xf numFmtId="164" fontId="7" fillId="9" borderId="5" xfId="0" applyFont="true" applyBorder="true" applyAlignment="true" applyProtection="false">
      <alignment horizontal="general" vertical="top" textRotation="0" wrapText="true" indent="0" shrinkToFit="false"/>
      <protection locked="true" hidden="false"/>
    </xf>
    <xf numFmtId="164" fontId="8" fillId="13" borderId="5" xfId="0" applyFont="true" applyBorder="true" applyAlignment="true" applyProtection="false">
      <alignment horizontal="general" vertical="top" textRotation="0" wrapText="true" indent="0" shrinkToFit="false"/>
      <protection locked="true" hidden="false"/>
    </xf>
    <xf numFmtId="164" fontId="7" fillId="11" borderId="5" xfId="0" applyFont="true" applyBorder="true" applyAlignment="true" applyProtection="false">
      <alignment horizontal="general" vertical="top" textRotation="0" wrapText="true" indent="0" shrinkToFit="false"/>
      <protection locked="true" hidden="false"/>
    </xf>
    <xf numFmtId="164" fontId="7" fillId="11" borderId="5" xfId="0" applyFont="true" applyBorder="true" applyAlignment="true" applyProtection="false">
      <alignment horizontal="righ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14" borderId="0" xfId="0" applyFont="true" applyBorder="false" applyAlignment="false" applyProtection="false">
      <alignment horizontal="general" vertical="bottom" textRotation="0" wrapText="false" indent="0" shrinkToFit="false"/>
      <protection locked="true" hidden="false"/>
    </xf>
    <xf numFmtId="164" fontId="11" fillId="15" borderId="2" xfId="0" applyFont="true" applyBorder="true" applyAlignment="true" applyProtection="false">
      <alignment horizontal="left" vertical="bottom" textRotation="0" wrapText="false" indent="0" shrinkToFit="false"/>
      <protection locked="true" hidden="false"/>
    </xf>
    <xf numFmtId="164" fontId="11" fillId="16" borderId="2" xfId="0" applyFont="true" applyBorder="true" applyAlignment="true" applyProtection="false">
      <alignment horizontal="left" vertical="bottom" textRotation="0" wrapText="false" indent="0" shrinkToFit="false"/>
      <protection locked="true" hidden="false"/>
    </xf>
    <xf numFmtId="164" fontId="11" fillId="16" borderId="2" xfId="0" applyFont="true" applyBorder="true" applyAlignment="true" applyProtection="false">
      <alignment horizontal="left" vertical="bottom" textRotation="0" wrapText="true" indent="0" shrinkToFit="false"/>
      <protection locked="true" hidden="false"/>
    </xf>
    <xf numFmtId="164" fontId="7" fillId="14" borderId="0" xfId="0" applyFont="true" applyBorder="false" applyAlignment="false" applyProtection="false">
      <alignment horizontal="general" vertical="bottom" textRotation="0" wrapText="false" indent="0" shrinkToFit="false"/>
      <protection locked="true" hidden="false"/>
    </xf>
    <xf numFmtId="164" fontId="11" fillId="17" borderId="2" xfId="0" applyFont="true" applyBorder="true" applyAlignment="true" applyProtection="false">
      <alignment horizontal="left" vertical="bottom" textRotation="0" wrapText="false" indent="0" shrinkToFit="false"/>
      <protection locked="true" hidden="false"/>
    </xf>
    <xf numFmtId="164" fontId="11" fillId="18" borderId="2" xfId="0" applyFont="true" applyBorder="true" applyAlignment="true" applyProtection="false">
      <alignment horizontal="left" vertical="bottom" textRotation="0" wrapText="false" indent="0" shrinkToFit="false"/>
      <protection locked="true" hidden="false"/>
    </xf>
    <xf numFmtId="164" fontId="12" fillId="18" borderId="2" xfId="0" applyFont="true" applyBorder="true" applyAlignment="true" applyProtection="false">
      <alignment horizontal="left" vertical="bottom" textRotation="0" wrapText="false" indent="0" shrinkToFit="false"/>
      <protection locked="true" hidden="false"/>
    </xf>
    <xf numFmtId="164" fontId="12" fillId="17" borderId="2" xfId="0" applyFont="true" applyBorder="true" applyAlignment="true" applyProtection="false">
      <alignment horizontal="left" vertical="bottom" textRotation="0" wrapText="false" indent="0" shrinkToFit="false"/>
      <protection locked="true" hidden="false"/>
    </xf>
    <xf numFmtId="164" fontId="12" fillId="16" borderId="2" xfId="0" applyFont="true" applyBorder="true" applyAlignment="true" applyProtection="false">
      <alignment horizontal="left" vertical="bottom" textRotation="0" wrapText="false" indent="0" shrinkToFit="false"/>
      <protection locked="true" hidden="false"/>
    </xf>
    <xf numFmtId="164" fontId="11" fillId="18" borderId="2" xfId="0" applyFont="true" applyBorder="true" applyAlignment="true" applyProtection="false">
      <alignment horizontal="left" vertical="bottom" textRotation="0" wrapText="true" indent="0" shrinkToFit="false"/>
      <protection locked="true" hidden="false"/>
    </xf>
    <xf numFmtId="164" fontId="12" fillId="15" borderId="2" xfId="0" applyFont="true" applyBorder="true" applyAlignment="true" applyProtection="false">
      <alignment horizontal="left" vertical="bottom" textRotation="0" wrapText="false" indent="0" shrinkToFit="false"/>
      <protection locked="true" hidden="false"/>
    </xf>
    <xf numFmtId="164" fontId="12" fillId="17" borderId="5" xfId="0" applyFont="true" applyBorder="true" applyAlignment="true" applyProtection="false">
      <alignment horizontal="left" vertical="bottom" textRotation="0" wrapText="false" indent="0" shrinkToFit="false"/>
      <protection locked="true" hidden="false"/>
    </xf>
    <xf numFmtId="164" fontId="11" fillId="18" borderId="5" xfId="0" applyFont="true" applyBorder="true" applyAlignment="true" applyProtection="false">
      <alignment horizontal="left" vertical="bottom" textRotation="0" wrapText="false" indent="0" shrinkToFit="false"/>
      <protection locked="true" hidden="false"/>
    </xf>
    <xf numFmtId="164" fontId="12" fillId="18" borderId="5"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right" vertical="bottom" textRotation="0" wrapText="false" indent="0" shrinkToFit="false"/>
      <protection locked="true" hidden="false"/>
    </xf>
    <xf numFmtId="164" fontId="15" fillId="0" borderId="5" xfId="0" applyFont="true" applyBorder="true" applyAlignment="true" applyProtection="false">
      <alignment horizontal="left" vertical="bottom" textRotation="0" wrapText="false" indent="0" shrinkToFit="false"/>
      <protection locked="true" hidden="false"/>
    </xf>
    <xf numFmtId="166" fontId="15" fillId="0" borderId="5"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center" vertical="bottom" textRotation="0" wrapText="false" indent="0" shrinkToFit="false"/>
      <protection locked="true" hidden="false"/>
    </xf>
    <xf numFmtId="169" fontId="7" fillId="0" borderId="2" xfId="0" applyFont="true" applyBorder="true" applyAlignment="false" applyProtection="false">
      <alignment horizontal="general" vertical="bottom" textRotation="0" wrapText="false" indent="0" shrinkToFit="false"/>
      <protection locked="true" hidden="false"/>
    </xf>
    <xf numFmtId="164" fontId="16" fillId="0" borderId="5" xfId="0" applyFont="true" applyBorder="true" applyAlignment="false" applyProtection="false">
      <alignment horizontal="general" vertical="bottom" textRotation="0" wrapText="false" indent="0" shrinkToFit="false"/>
      <protection locked="true" hidden="false"/>
    </xf>
    <xf numFmtId="166" fontId="16" fillId="0" borderId="5"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7" fillId="0" borderId="7" xfId="0" applyFont="true" applyBorder="true" applyAlignment="false" applyProtection="false">
      <alignment horizontal="general" vertical="bottom" textRotation="0" wrapText="false" indent="0" shrinkToFit="false"/>
      <protection locked="true" hidden="false"/>
    </xf>
    <xf numFmtId="166" fontId="7" fillId="0" borderId="4" xfId="0" applyFont="true" applyBorder="true" applyAlignment="true" applyProtection="false">
      <alignment horizontal="right" vertical="bottom" textRotation="0" wrapText="false" indent="0" shrinkToFit="false"/>
      <protection locked="true" hidden="false"/>
    </xf>
    <xf numFmtId="166" fontId="7" fillId="0" borderId="4"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6" fontId="7" fillId="0" borderId="5"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B45F06"/>
      <rgbColor rgb="FF800080"/>
      <rgbColor rgb="FF3D85C6"/>
      <rgbColor rgb="FFBFBFBF"/>
      <rgbColor rgb="FF808080"/>
      <rgbColor rgb="FF6FA8DC"/>
      <rgbColor rgb="FF993366"/>
      <rgbColor rgb="FFFFFFCC"/>
      <rgbColor rgb="FFCCFFFF"/>
      <rgbColor rgb="FF660066"/>
      <rgbColor rgb="FFFF8080"/>
      <rgbColor rgb="FF0B5394"/>
      <rgbColor rgb="FFD9D9D9"/>
      <rgbColor rgb="FF000080"/>
      <rgbColor rgb="FFFF00FF"/>
      <rgbColor rgb="FFFFFF00"/>
      <rgbColor rgb="FF00FFFF"/>
      <rgbColor rgb="FF800080"/>
      <rgbColor rgb="FF800000"/>
      <rgbColor rgb="FF008080"/>
      <rgbColor rgb="FF0000FF"/>
      <rgbColor rgb="FF00CCFF"/>
      <rgbColor rgb="FFCCFFFF"/>
      <rgbColor rgb="FFB6D7A8"/>
      <rgbColor rgb="FFFFFF99"/>
      <rgbColor rgb="FF9FC5E8"/>
      <rgbColor rgb="FFF6B26B"/>
      <rgbColor rgb="FFA4C2F4"/>
      <rgbColor rgb="FFF9CB9C"/>
      <rgbColor rgb="FF4285F4"/>
      <rgbColor rgb="FF33CCCC"/>
      <rgbColor rgb="FF99CC00"/>
      <rgbColor rgb="FFFFCC00"/>
      <rgbColor rgb="FFE69138"/>
      <rgbColor rgb="FFFF6600"/>
      <rgbColor rgb="FF595959"/>
      <rgbColor rgb="FF93C47D"/>
      <rgbColor rgb="FF073763"/>
      <rgbColor rgb="FF6AA84F"/>
      <rgbColor rgb="FF003300"/>
      <rgbColor rgb="FF274E13"/>
      <rgbColor rgb="FF783F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fr-FR" sz="1400" spc="-1" strike="noStrike">
                <a:solidFill>
                  <a:srgbClr val="595959"/>
                </a:solidFill>
                <a:latin typeface="Arial"/>
                <a:ea typeface="Arial"/>
              </a:defRPr>
            </a:pPr>
            <a:r>
              <a:rPr b="0" lang="fr-FR" sz="1400" spc="-1" strike="noStrike">
                <a:solidFill>
                  <a:srgbClr val="595959"/>
                </a:solidFill>
                <a:latin typeface="Arial"/>
                <a:ea typeface="Arial"/>
              </a:rPr>
              <a:t>Zinc coating area in function of tower height</a:t>
            </a:r>
          </a:p>
        </c:rich>
      </c:tx>
      <c:overlay val="0"/>
      <c:spPr>
        <a:noFill/>
        <a:ln w="0">
          <a:noFill/>
        </a:ln>
      </c:spPr>
    </c:title>
    <c:autoTitleDeleted val="0"/>
    <c:plotArea>
      <c:scatterChart>
        <c:scatterStyle val="lineMarker"/>
        <c:varyColors val="0"/>
        <c:ser>
          <c:idx val="0"/>
          <c:order val="0"/>
          <c:spPr>
            <a:solidFill>
              <a:srgbClr val="4285f4"/>
            </a:solidFill>
            <a:ln w="19080">
              <a:noFill/>
            </a:ln>
          </c:spPr>
          <c:marker>
            <c:symbol val="circle"/>
            <c:size val="5"/>
            <c:spPr>
              <a:solidFill>
                <a:srgbClr val="4285f4"/>
              </a:solidFill>
            </c:spPr>
          </c:marker>
          <c:dLbls>
            <c:txPr>
              <a:bodyPr wrap="square"/>
              <a:lstStyle/>
              <a:p>
                <a:pPr>
                  <a:defRPr b="0" sz="1000" spc="-1" strike="noStrike">
                    <a:solidFill>
                      <a:srgbClr val="000000"/>
                    </a:solidFill>
                    <a:latin typeface="Arial"/>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cap="rnd" w="19080">
                <a:solidFill>
                  <a:srgbClr val="4285f4"/>
                </a:solidFill>
                <a:prstDash val="sysDot"/>
                <a:round/>
              </a:ln>
            </c:spPr>
            <c:trendlineType val="linear"/>
            <c:forward val="0"/>
            <c:backward val="0"/>
            <c:dispRSqr val="0"/>
            <c:dispEq val="1"/>
          </c:trendline>
          <c:xVal>
            <c:numRef>
              <c:f>'Hardware structure'!$A$2:$A$4</c:f>
              <c:numCache>
                <c:formatCode>General</c:formatCode>
                <c:ptCount val="3"/>
                <c:pt idx="0">
                  <c:v>12</c:v>
                </c:pt>
                <c:pt idx="1">
                  <c:v>18</c:v>
                </c:pt>
                <c:pt idx="2">
                  <c:v>24</c:v>
                </c:pt>
              </c:numCache>
            </c:numRef>
          </c:xVal>
          <c:yVal>
            <c:numRef>
              <c:f>'Hardware structure'!$J$2:$J$4</c:f>
              <c:numCache>
                <c:formatCode>General</c:formatCode>
                <c:ptCount val="3"/>
                <c:pt idx="0">
                  <c:v>0.731628</c:v>
                </c:pt>
                <c:pt idx="1">
                  <c:v>1.086144</c:v>
                </c:pt>
                <c:pt idx="2">
                  <c:v>1.393944</c:v>
                </c:pt>
              </c:numCache>
            </c:numRef>
          </c:yVal>
          <c:smooth val="0"/>
        </c:ser>
        <c:axId val="17893862"/>
        <c:axId val="62221593"/>
      </c:scatterChart>
      <c:valAx>
        <c:axId val="17893862"/>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Arial"/>
                <a:ea typeface="Arial"/>
              </a:defRPr>
            </a:pPr>
          </a:p>
        </c:txPr>
        <c:crossAx val="62221593"/>
        <c:crosses val="autoZero"/>
        <c:crossBetween val="midCat"/>
      </c:valAx>
      <c:valAx>
        <c:axId val="6222159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Arial"/>
                <a:ea typeface="Arial"/>
              </a:defRPr>
            </a:pPr>
          </a:p>
        </c:txPr>
        <c:crossAx val="17893862"/>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457200</xdr:colOff>
      <xdr:row>6</xdr:row>
      <xdr:rowOff>83880</xdr:rowOff>
    </xdr:from>
    <xdr:to>
      <xdr:col>10</xdr:col>
      <xdr:colOff>685440</xdr:colOff>
      <xdr:row>20</xdr:row>
      <xdr:rowOff>52920</xdr:rowOff>
    </xdr:to>
    <xdr:graphicFrame>
      <xdr:nvGraphicFramePr>
        <xdr:cNvPr id="0" name="Graphique 1"/>
        <xdr:cNvGraphicFramePr/>
      </xdr:nvGraphicFramePr>
      <xdr:xfrm>
        <a:off x="6438960" y="1284120"/>
        <a:ext cx="8249040" cy="2769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 activeCellId="0" sqref="I2"/>
    </sheetView>
  </sheetViews>
  <sheetFormatPr defaultColWidth="12.66796875" defaultRowHeight="15" zeroHeight="false" outlineLevelRow="0" outlineLevelCol="0"/>
  <cols>
    <col collapsed="false" customWidth="true" hidden="false" outlineLevel="0" max="1" min="1" style="0" width="10.78"/>
    <col collapsed="false" customWidth="true" hidden="false" outlineLevel="0" max="6" min="6" style="0" width="24.78"/>
    <col collapsed="false" customWidth="true" hidden="false" outlineLevel="0" max="7" min="7" style="0" width="46.44"/>
    <col collapsed="false" customWidth="true" hidden="false" outlineLevel="0" max="8" min="8" style="0" width="19.21"/>
  </cols>
  <sheetData>
    <row r="1" customFormat="false" ht="15.75" hidden="false" customHeight="true" outlineLevel="0" collapsed="false">
      <c r="A1" s="1"/>
      <c r="B1" s="2" t="s">
        <v>0</v>
      </c>
      <c r="C1" s="2" t="s">
        <v>1</v>
      </c>
      <c r="D1" s="2" t="s">
        <v>2</v>
      </c>
      <c r="E1" s="2" t="s">
        <v>3</v>
      </c>
      <c r="F1" s="2" t="s">
        <v>4</v>
      </c>
      <c r="G1" s="2" t="s">
        <v>5</v>
      </c>
      <c r="H1" s="2" t="s">
        <v>6</v>
      </c>
    </row>
    <row r="2" customFormat="false" ht="15.75" hidden="false" customHeight="true" outlineLevel="0" collapsed="false">
      <c r="A2" s="3" t="s">
        <v>7</v>
      </c>
      <c r="B2" s="4" t="s">
        <v>8</v>
      </c>
      <c r="C2" s="5" t="s">
        <v>9</v>
      </c>
      <c r="D2" s="5" t="s">
        <v>10</v>
      </c>
      <c r="E2" s="5" t="s">
        <v>11</v>
      </c>
      <c r="F2" s="5" t="s">
        <v>12</v>
      </c>
      <c r="G2" s="5" t="s">
        <v>13</v>
      </c>
      <c r="H2" s="5"/>
    </row>
    <row r="3" customFormat="false" ht="15.75" hidden="false" customHeight="true" outlineLevel="0" collapsed="false">
      <c r="A3" s="3"/>
      <c r="B3" s="4"/>
      <c r="C3" s="6" t="s">
        <v>14</v>
      </c>
      <c r="D3" s="6" t="s">
        <v>15</v>
      </c>
      <c r="E3" s="6" t="s">
        <v>16</v>
      </c>
      <c r="F3" s="6" t="s">
        <v>17</v>
      </c>
      <c r="G3" s="6"/>
      <c r="H3" s="6" t="s">
        <v>18</v>
      </c>
    </row>
    <row r="4" customFormat="false" ht="39" hidden="false" customHeight="true" outlineLevel="0" collapsed="false">
      <c r="A4" s="7"/>
      <c r="B4" s="8" t="s">
        <v>19</v>
      </c>
      <c r="C4" s="5" t="s">
        <v>20</v>
      </c>
      <c r="D4" s="5" t="s">
        <v>21</v>
      </c>
      <c r="E4" s="5" t="s">
        <v>22</v>
      </c>
      <c r="F4" s="5" t="s">
        <v>23</v>
      </c>
      <c r="G4" s="5" t="s">
        <v>24</v>
      </c>
      <c r="H4" s="5"/>
    </row>
    <row r="5" customFormat="false" ht="44.25" hidden="false" customHeight="true" outlineLevel="0" collapsed="false">
      <c r="A5" s="7"/>
      <c r="B5" s="8"/>
      <c r="C5" s="5"/>
      <c r="D5" s="5"/>
      <c r="E5" s="5" t="s">
        <v>25</v>
      </c>
      <c r="F5" s="5" t="s">
        <v>26</v>
      </c>
      <c r="G5" s="5"/>
      <c r="H5" s="5"/>
    </row>
    <row r="6" customFormat="false" ht="15.75" hidden="false" customHeight="true" outlineLevel="0" collapsed="false">
      <c r="A6" s="7"/>
      <c r="B6" s="8"/>
      <c r="C6" s="6" t="s">
        <v>27</v>
      </c>
      <c r="D6" s="6" t="s">
        <v>28</v>
      </c>
      <c r="E6" s="6" t="s">
        <v>29</v>
      </c>
      <c r="F6" s="6" t="s">
        <v>30</v>
      </c>
      <c r="G6" s="6"/>
      <c r="H6" s="6"/>
    </row>
    <row r="7" customFormat="false" ht="15.75" hidden="false" customHeight="true" outlineLevel="0" collapsed="false">
      <c r="A7" s="7"/>
      <c r="B7" s="8"/>
      <c r="C7" s="6"/>
      <c r="D7" s="6"/>
      <c r="E7" s="6" t="s">
        <v>31</v>
      </c>
      <c r="F7" s="6" t="s">
        <v>32</v>
      </c>
      <c r="G7" s="6"/>
      <c r="H7" s="6"/>
    </row>
    <row r="8" customFormat="false" ht="15.75" hidden="false" customHeight="true" outlineLevel="0" collapsed="false">
      <c r="A8" s="7"/>
      <c r="B8" s="8"/>
      <c r="C8" s="6"/>
      <c r="D8" s="6"/>
      <c r="E8" s="6" t="s">
        <v>33</v>
      </c>
      <c r="F8" s="6" t="s">
        <v>34</v>
      </c>
      <c r="G8" s="6"/>
      <c r="H8" s="6"/>
    </row>
    <row r="9" customFormat="false" ht="15.75" hidden="false" customHeight="true" outlineLevel="0" collapsed="false">
      <c r="A9" s="7"/>
      <c r="B9" s="8"/>
      <c r="C9" s="5" t="s">
        <v>29</v>
      </c>
      <c r="D9" s="5" t="s">
        <v>35</v>
      </c>
      <c r="E9" s="9" t="s">
        <v>36</v>
      </c>
      <c r="F9" s="5" t="s">
        <v>37</v>
      </c>
      <c r="G9" s="5"/>
      <c r="H9" s="10"/>
    </row>
    <row r="10" customFormat="false" ht="15.75" hidden="false" customHeight="true" outlineLevel="0" collapsed="false">
      <c r="A10" s="7"/>
      <c r="B10" s="8"/>
      <c r="C10" s="5"/>
      <c r="D10" s="5"/>
      <c r="E10" s="5" t="s">
        <v>38</v>
      </c>
      <c r="F10" s="5" t="s">
        <v>39</v>
      </c>
      <c r="G10" s="5"/>
      <c r="H10" s="10"/>
    </row>
    <row r="11" customFormat="false" ht="15.75" hidden="false" customHeight="true" outlineLevel="0" collapsed="false">
      <c r="A11" s="7"/>
      <c r="B11" s="8"/>
      <c r="C11" s="5"/>
      <c r="D11" s="5"/>
      <c r="E11" s="5" t="s">
        <v>40</v>
      </c>
      <c r="F11" s="5" t="s">
        <v>41</v>
      </c>
      <c r="G11" s="5"/>
      <c r="H11" s="10"/>
    </row>
    <row r="12" customFormat="false" ht="15.75" hidden="false" customHeight="true" outlineLevel="0" collapsed="false">
      <c r="A12" s="7"/>
      <c r="B12" s="11" t="s">
        <v>42</v>
      </c>
      <c r="C12" s="6" t="s">
        <v>43</v>
      </c>
      <c r="D12" s="6" t="s">
        <v>44</v>
      </c>
      <c r="E12" s="6" t="s">
        <v>45</v>
      </c>
      <c r="F12" s="6" t="s">
        <v>46</v>
      </c>
      <c r="G12" s="6" t="s">
        <v>47</v>
      </c>
      <c r="H12" s="6"/>
    </row>
    <row r="13" customFormat="false" ht="15.75" hidden="false" customHeight="true" outlineLevel="0" collapsed="false">
      <c r="A13" s="7"/>
      <c r="B13" s="11"/>
      <c r="C13" s="6"/>
      <c r="D13" s="6"/>
      <c r="E13" s="6" t="s">
        <v>48</v>
      </c>
      <c r="F13" s="6" t="s">
        <v>49</v>
      </c>
      <c r="G13" s="6"/>
      <c r="H13" s="6"/>
    </row>
    <row r="14" customFormat="false" ht="39.75" hidden="false" customHeight="true" outlineLevel="0" collapsed="false">
      <c r="A14" s="7"/>
      <c r="B14" s="11"/>
      <c r="C14" s="12" t="s">
        <v>50</v>
      </c>
      <c r="D14" s="12" t="s">
        <v>51</v>
      </c>
      <c r="E14" s="12" t="s">
        <v>52</v>
      </c>
      <c r="F14" s="12" t="s">
        <v>53</v>
      </c>
      <c r="G14" s="12"/>
      <c r="H14" s="13"/>
    </row>
    <row r="15" customFormat="false" ht="15.75" hidden="false" customHeight="true" outlineLevel="0" collapsed="false">
      <c r="A15" s="7"/>
      <c r="B15" s="11"/>
      <c r="C15" s="6" t="s">
        <v>29</v>
      </c>
      <c r="D15" s="6" t="s">
        <v>35</v>
      </c>
      <c r="E15" s="6" t="s">
        <v>36</v>
      </c>
      <c r="F15" s="6" t="s">
        <v>37</v>
      </c>
      <c r="G15" s="6"/>
      <c r="H15" s="14"/>
    </row>
    <row r="16" customFormat="false" ht="15.75" hidden="false" customHeight="true" outlineLevel="0" collapsed="false">
      <c r="A16" s="7"/>
      <c r="B16" s="11"/>
      <c r="C16" s="6"/>
      <c r="D16" s="6"/>
      <c r="E16" s="6" t="s">
        <v>38</v>
      </c>
      <c r="F16" s="6" t="s">
        <v>39</v>
      </c>
      <c r="G16" s="6"/>
      <c r="H16" s="14"/>
    </row>
    <row r="17" customFormat="false" ht="15.75" hidden="false" customHeight="true" outlineLevel="0" collapsed="false">
      <c r="A17" s="7"/>
      <c r="B17" s="11"/>
      <c r="C17" s="6"/>
      <c r="D17" s="6"/>
      <c r="E17" s="6" t="s">
        <v>40</v>
      </c>
      <c r="F17" s="6" t="s">
        <v>41</v>
      </c>
      <c r="G17" s="6"/>
      <c r="H17" s="14"/>
    </row>
    <row r="18" customFormat="false" ht="55.5" hidden="false" customHeight="true" outlineLevel="0" collapsed="false">
      <c r="A18" s="7"/>
      <c r="B18" s="8" t="s">
        <v>54</v>
      </c>
      <c r="C18" s="12"/>
      <c r="D18" s="12"/>
      <c r="E18" s="12"/>
      <c r="F18" s="12"/>
      <c r="G18" s="12" t="s">
        <v>55</v>
      </c>
      <c r="H18" s="12"/>
    </row>
    <row r="19" customFormat="false" ht="15.75" hidden="false" customHeight="true" outlineLevel="0" collapsed="false">
      <c r="A19" s="7"/>
      <c r="B19" s="11" t="s">
        <v>56</v>
      </c>
      <c r="C19" s="12" t="s">
        <v>57</v>
      </c>
      <c r="D19" s="12" t="s">
        <v>58</v>
      </c>
      <c r="E19" s="12" t="s">
        <v>16</v>
      </c>
      <c r="F19" s="12" t="s">
        <v>17</v>
      </c>
      <c r="G19" s="12" t="s">
        <v>59</v>
      </c>
      <c r="H19" s="12"/>
    </row>
    <row r="20" customFormat="false" ht="15.75" hidden="false" customHeight="true" outlineLevel="0" collapsed="false">
      <c r="A20" s="7"/>
      <c r="B20" s="11"/>
      <c r="C20" s="12" t="s">
        <v>60</v>
      </c>
      <c r="D20" s="12" t="s">
        <v>61</v>
      </c>
      <c r="E20" s="12" t="s">
        <v>45</v>
      </c>
      <c r="F20" s="12" t="s">
        <v>62</v>
      </c>
      <c r="G20" s="12" t="s">
        <v>63</v>
      </c>
      <c r="H20" s="12"/>
    </row>
    <row r="21" customFormat="false" ht="15.75" hidden="false" customHeight="true" outlineLevel="0" collapsed="false">
      <c r="A21" s="7"/>
      <c r="B21" s="11"/>
      <c r="C21" s="12"/>
      <c r="D21" s="12"/>
      <c r="E21" s="12" t="s">
        <v>64</v>
      </c>
      <c r="F21" s="12" t="s">
        <v>65</v>
      </c>
      <c r="G21" s="12"/>
      <c r="H21" s="12"/>
    </row>
    <row r="22" customFormat="false" ht="15.75" hidden="false" customHeight="true" outlineLevel="0" collapsed="false">
      <c r="A22" s="7"/>
      <c r="B22" s="11"/>
      <c r="C22" s="12" t="s">
        <v>66</v>
      </c>
      <c r="D22" s="12" t="s">
        <v>67</v>
      </c>
      <c r="E22" s="12" t="s">
        <v>45</v>
      </c>
      <c r="F22" s="12" t="s">
        <v>68</v>
      </c>
      <c r="G22" s="12"/>
      <c r="H22" s="12"/>
    </row>
    <row r="23" customFormat="false" ht="15.75" hidden="false" customHeight="true" outlineLevel="0" collapsed="false">
      <c r="A23" s="7"/>
      <c r="B23" s="11"/>
      <c r="C23" s="12"/>
      <c r="D23" s="12"/>
      <c r="E23" s="12" t="s">
        <v>64</v>
      </c>
      <c r="F23" s="12" t="s">
        <v>65</v>
      </c>
      <c r="G23" s="12"/>
      <c r="H23" s="12"/>
    </row>
    <row r="24" customFormat="false" ht="15.75" hidden="false" customHeight="true" outlineLevel="0" collapsed="false">
      <c r="A24" s="7"/>
      <c r="B24" s="11"/>
      <c r="C24" s="12" t="s">
        <v>69</v>
      </c>
      <c r="D24" s="12" t="s">
        <v>70</v>
      </c>
      <c r="E24" s="12" t="s">
        <v>45</v>
      </c>
      <c r="F24" s="12" t="s">
        <v>68</v>
      </c>
      <c r="G24" s="12"/>
      <c r="H24" s="12"/>
    </row>
    <row r="25" customFormat="false" ht="15.75" hidden="false" customHeight="true" outlineLevel="0" collapsed="false">
      <c r="A25" s="7"/>
      <c r="B25" s="8" t="s">
        <v>71</v>
      </c>
      <c r="C25" s="12" t="s">
        <v>72</v>
      </c>
      <c r="D25" s="12" t="s">
        <v>73</v>
      </c>
      <c r="E25" s="12" t="s">
        <v>45</v>
      </c>
      <c r="F25" s="12" t="s">
        <v>68</v>
      </c>
      <c r="G25" s="12" t="s">
        <v>74</v>
      </c>
      <c r="H25" s="12"/>
    </row>
    <row r="26" customFormat="false" ht="15.75" hidden="false" customHeight="true" outlineLevel="0" collapsed="false">
      <c r="A26" s="7"/>
      <c r="B26" s="8"/>
      <c r="C26" s="12"/>
      <c r="D26" s="12"/>
      <c r="E26" s="12" t="s">
        <v>64</v>
      </c>
      <c r="F26" s="12" t="s">
        <v>65</v>
      </c>
      <c r="G26" s="12"/>
      <c r="H26" s="12"/>
    </row>
    <row r="27" customFormat="false" ht="15.75" hidden="false" customHeight="true" outlineLevel="0" collapsed="false">
      <c r="A27" s="7"/>
      <c r="B27" s="8"/>
      <c r="C27" s="12" t="s">
        <v>75</v>
      </c>
      <c r="D27" s="12" t="s">
        <v>76</v>
      </c>
      <c r="E27" s="12" t="s">
        <v>45</v>
      </c>
      <c r="F27" s="12" t="s">
        <v>68</v>
      </c>
      <c r="G27" s="12"/>
      <c r="H27" s="12"/>
    </row>
    <row r="28" customFormat="false" ht="15.75" hidden="false" customHeight="true" outlineLevel="0" collapsed="false">
      <c r="A28" s="7"/>
      <c r="B28" s="8"/>
      <c r="C28" s="12"/>
      <c r="D28" s="12"/>
      <c r="E28" s="12"/>
      <c r="F28" s="12"/>
      <c r="G28" s="12"/>
      <c r="H28" s="12"/>
    </row>
    <row r="29" customFormat="false" ht="15.75" hidden="false" customHeight="true" outlineLevel="0" collapsed="false">
      <c r="A29" s="7"/>
      <c r="B29" s="11" t="s">
        <v>77</v>
      </c>
      <c r="C29" s="12" t="s">
        <v>78</v>
      </c>
      <c r="D29" s="12" t="s">
        <v>79</v>
      </c>
      <c r="E29" s="12" t="s">
        <v>80</v>
      </c>
      <c r="F29" s="12" t="s">
        <v>81</v>
      </c>
      <c r="G29" s="12" t="s">
        <v>82</v>
      </c>
      <c r="H29" s="13"/>
    </row>
    <row r="30" customFormat="false" ht="15.75" hidden="false" customHeight="true" outlineLevel="0" collapsed="false">
      <c r="A30" s="7"/>
      <c r="B30" s="11"/>
      <c r="C30" s="12"/>
      <c r="D30" s="12"/>
      <c r="E30" s="12" t="s">
        <v>83</v>
      </c>
      <c r="F30" s="12" t="s">
        <v>84</v>
      </c>
      <c r="G30" s="12"/>
      <c r="H30" s="13"/>
    </row>
    <row r="31" customFormat="false" ht="15.75" hidden="false" customHeight="true" outlineLevel="0" collapsed="false">
      <c r="A31" s="7"/>
      <c r="B31" s="11"/>
      <c r="C31" s="12" t="s">
        <v>85</v>
      </c>
      <c r="D31" s="12" t="s">
        <v>86</v>
      </c>
      <c r="E31" s="12" t="s">
        <v>45</v>
      </c>
      <c r="F31" s="12" t="s">
        <v>68</v>
      </c>
      <c r="G31" s="12" t="s">
        <v>87</v>
      </c>
      <c r="H31" s="13"/>
    </row>
    <row r="32" customFormat="false" ht="15.75" hidden="false" customHeight="true" outlineLevel="0" collapsed="false">
      <c r="A32" s="7"/>
      <c r="B32" s="11"/>
      <c r="C32" s="12"/>
      <c r="D32" s="12"/>
      <c r="E32" s="12" t="s">
        <v>83</v>
      </c>
      <c r="F32" s="12" t="s">
        <v>88</v>
      </c>
      <c r="G32" s="12"/>
      <c r="H32" s="12"/>
    </row>
    <row r="33" customFormat="false" ht="15.75" hidden="false" customHeight="true" outlineLevel="0" collapsed="false">
      <c r="A33" s="7"/>
      <c r="B33" s="11"/>
      <c r="C33" s="12"/>
      <c r="D33" s="12"/>
      <c r="E33" s="12" t="s">
        <v>48</v>
      </c>
      <c r="F33" s="12" t="s">
        <v>49</v>
      </c>
      <c r="G33" s="12"/>
      <c r="H33" s="12"/>
    </row>
    <row r="34" customFormat="false" ht="15.75" hidden="false" customHeight="true" outlineLevel="0" collapsed="false">
      <c r="A34" s="7"/>
      <c r="B34" s="8" t="s">
        <v>89</v>
      </c>
      <c r="C34" s="12" t="s">
        <v>90</v>
      </c>
      <c r="D34" s="12" t="s">
        <v>91</v>
      </c>
      <c r="E34" s="12" t="s">
        <v>16</v>
      </c>
      <c r="F34" s="12"/>
      <c r="G34" s="12" t="s">
        <v>92</v>
      </c>
      <c r="H34" s="12"/>
    </row>
    <row r="35" customFormat="false" ht="15.75" hidden="false" customHeight="true" outlineLevel="0" collapsed="false">
      <c r="A35" s="7"/>
      <c r="B35" s="8"/>
      <c r="C35" s="12"/>
      <c r="D35" s="12"/>
      <c r="E35" s="12" t="s">
        <v>93</v>
      </c>
      <c r="F35" s="12"/>
      <c r="G35" s="12"/>
      <c r="H35" s="12"/>
    </row>
    <row r="36" customFormat="false" ht="15.75" hidden="false" customHeight="true" outlineLevel="0" collapsed="false">
      <c r="A36" s="7"/>
      <c r="B36" s="8"/>
      <c r="C36" s="12" t="s">
        <v>94</v>
      </c>
      <c r="D36" s="12" t="s">
        <v>95</v>
      </c>
      <c r="E36" s="12" t="s">
        <v>16</v>
      </c>
      <c r="F36" s="12"/>
      <c r="G36" s="12" t="s">
        <v>96</v>
      </c>
      <c r="H36" s="12"/>
    </row>
    <row r="37" customFormat="false" ht="15.75" hidden="false" customHeight="true" outlineLevel="0" collapsed="false">
      <c r="A37" s="7"/>
      <c r="B37" s="11"/>
      <c r="C37" s="12"/>
      <c r="D37" s="12"/>
      <c r="E37" s="12"/>
      <c r="F37" s="12"/>
      <c r="G37" s="12"/>
      <c r="H37" s="12"/>
    </row>
    <row r="38" customFormat="false" ht="15.75" hidden="false" customHeight="true" outlineLevel="0" collapsed="false">
      <c r="A38" s="15"/>
      <c r="B38" s="16"/>
      <c r="C38" s="15"/>
      <c r="D38" s="15"/>
      <c r="E38" s="15"/>
      <c r="F38" s="15"/>
      <c r="G38" s="15"/>
      <c r="H38" s="15"/>
    </row>
    <row r="39" customFormat="false" ht="15.75" hidden="false" customHeight="true" outlineLevel="0" collapsed="false">
      <c r="A39" s="17"/>
      <c r="B39" s="18"/>
      <c r="C39" s="17"/>
      <c r="D39" s="17"/>
      <c r="E39" s="17"/>
      <c r="F39" s="17"/>
      <c r="G39" s="17"/>
      <c r="H39" s="17"/>
    </row>
    <row r="40" customFormat="false" ht="15.75" hidden="false" customHeight="true" outlineLevel="0" collapsed="false">
      <c r="A40" s="17"/>
      <c r="B40" s="18"/>
      <c r="C40" s="17"/>
      <c r="D40" s="17"/>
      <c r="E40" s="17"/>
      <c r="F40" s="17"/>
      <c r="G40" s="17"/>
      <c r="H40" s="17"/>
    </row>
    <row r="41" customFormat="false" ht="15.75" hidden="false" customHeight="true" outlineLevel="0" collapsed="false">
      <c r="A41" s="17"/>
      <c r="B41" s="18"/>
      <c r="C41" s="17"/>
      <c r="D41" s="17"/>
      <c r="E41" s="17"/>
      <c r="F41" s="17"/>
      <c r="G41" s="17"/>
      <c r="H41" s="17"/>
    </row>
    <row r="42" customFormat="false" ht="15.75" hidden="false" customHeight="true" outlineLevel="0" collapsed="false">
      <c r="A42" s="17"/>
      <c r="B42" s="18"/>
      <c r="C42" s="17"/>
      <c r="D42" s="17"/>
      <c r="E42" s="17"/>
      <c r="F42" s="17"/>
      <c r="G42" s="17"/>
      <c r="H42" s="17"/>
    </row>
    <row r="43" customFormat="false" ht="15.75" hidden="false" customHeight="true" outlineLevel="0" collapsed="false">
      <c r="A43" s="17"/>
      <c r="B43" s="19"/>
      <c r="C43" s="17"/>
      <c r="D43" s="17"/>
      <c r="E43" s="17"/>
      <c r="F43" s="17"/>
      <c r="G43" s="17"/>
      <c r="H43" s="17"/>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1">
    <mergeCell ref="G4:G5"/>
  </mergeCells>
  <printOptions headings="false" gridLines="true" gridLinesSet="true" horizontalCentered="true" verticalCentered="false"/>
  <pageMargins left="0.25" right="0.25"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9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4" activeCellId="0" sqref="I4"/>
    </sheetView>
  </sheetViews>
  <sheetFormatPr defaultColWidth="12.66796875" defaultRowHeight="15" zeroHeight="false" outlineLevelRow="0" outlineLevelCol="0"/>
  <cols>
    <col collapsed="false" customWidth="true" hidden="false" outlineLevel="0" max="1" min="1" style="0" width="10.11"/>
    <col collapsed="false" customWidth="true" hidden="false" outlineLevel="0" max="2" min="2" style="0" width="15.22"/>
    <col collapsed="false" customWidth="true" hidden="false" outlineLevel="0" max="3" min="3" style="0" width="8.88"/>
    <col collapsed="false" customWidth="true" hidden="false" outlineLevel="0" max="4" min="4" style="0" width="10.11"/>
    <col collapsed="false" customWidth="true" hidden="false" outlineLevel="0" max="5" min="5" style="0" width="15.22"/>
    <col collapsed="false" customWidth="true" hidden="false" outlineLevel="0" max="6" min="6" style="0" width="29.21"/>
    <col collapsed="false" customWidth="true" hidden="false" outlineLevel="0" max="7" min="7" style="0" width="33.33"/>
    <col collapsed="false" customWidth="true" hidden="false" outlineLevel="0" max="8" min="8" style="20" width="28.22"/>
    <col collapsed="false" customWidth="true" hidden="false" outlineLevel="0" max="9" min="9" style="0" width="17.77"/>
    <col collapsed="false" customWidth="true" hidden="false" outlineLevel="0" max="10" min="10" style="0" width="21.11"/>
    <col collapsed="false" customWidth="true" hidden="false" outlineLevel="0" max="11" min="11" style="0" width="24.88"/>
    <col collapsed="false" customWidth="true" hidden="false" outlineLevel="0" max="14" min="14" style="0" width="21"/>
  </cols>
  <sheetData>
    <row r="1" customFormat="false" ht="35.25" hidden="false" customHeight="true" outlineLevel="0" collapsed="false">
      <c r="A1" s="21" t="s">
        <v>97</v>
      </c>
      <c r="B1" s="21" t="s">
        <v>0</v>
      </c>
      <c r="C1" s="21" t="s">
        <v>1</v>
      </c>
      <c r="D1" s="21" t="s">
        <v>2</v>
      </c>
      <c r="E1" s="21" t="s">
        <v>3</v>
      </c>
      <c r="F1" s="21" t="s">
        <v>6</v>
      </c>
      <c r="G1" s="21" t="s">
        <v>98</v>
      </c>
      <c r="H1" s="21" t="s">
        <v>99</v>
      </c>
      <c r="I1" s="21" t="s">
        <v>100</v>
      </c>
      <c r="J1" s="21" t="s">
        <v>101</v>
      </c>
      <c r="K1" s="21" t="s">
        <v>102</v>
      </c>
      <c r="L1" s="21" t="s">
        <v>103</v>
      </c>
      <c r="M1" s="21" t="s">
        <v>104</v>
      </c>
      <c r="N1" s="21" t="s">
        <v>4</v>
      </c>
    </row>
    <row r="2" customFormat="false" ht="15.75" hidden="false" customHeight="true" outlineLevel="0" collapsed="false">
      <c r="A2" s="22" t="s">
        <v>105</v>
      </c>
      <c r="B2" s="23" t="s">
        <v>106</v>
      </c>
      <c r="C2" s="24" t="s">
        <v>107</v>
      </c>
      <c r="D2" s="24" t="s">
        <v>108</v>
      </c>
      <c r="E2" s="24"/>
      <c r="F2" s="24" t="s">
        <v>109</v>
      </c>
      <c r="G2" s="24" t="s">
        <v>110</v>
      </c>
      <c r="H2" s="24"/>
      <c r="I2" s="24"/>
      <c r="J2" s="24"/>
      <c r="K2" s="24"/>
      <c r="L2" s="24"/>
      <c r="M2" s="24" t="s">
        <v>111</v>
      </c>
      <c r="N2" s="24" t="s">
        <v>112</v>
      </c>
    </row>
    <row r="3" customFormat="false" ht="15.75" hidden="false" customHeight="true" outlineLevel="0" collapsed="false">
      <c r="A3" s="22"/>
      <c r="B3" s="23"/>
      <c r="C3" s="25" t="s">
        <v>113</v>
      </c>
      <c r="D3" s="25" t="s">
        <v>114</v>
      </c>
      <c r="E3" s="25" t="s">
        <v>115</v>
      </c>
      <c r="F3" s="25" t="s">
        <v>116</v>
      </c>
      <c r="G3" s="25"/>
      <c r="H3" s="25"/>
      <c r="I3" s="25" t="s">
        <v>117</v>
      </c>
      <c r="J3" s="25" t="s">
        <v>118</v>
      </c>
      <c r="K3" s="26" t="s">
        <v>119</v>
      </c>
      <c r="L3" s="27" t="s">
        <v>120</v>
      </c>
      <c r="M3" s="25" t="s">
        <v>111</v>
      </c>
      <c r="N3" s="25" t="s">
        <v>121</v>
      </c>
    </row>
    <row r="4" customFormat="false" ht="51" hidden="false" customHeight="true" outlineLevel="0" collapsed="false">
      <c r="A4" s="28"/>
      <c r="B4" s="29"/>
      <c r="C4" s="24" t="s">
        <v>122</v>
      </c>
      <c r="D4" s="24" t="s">
        <v>123</v>
      </c>
      <c r="E4" s="24" t="s">
        <v>115</v>
      </c>
      <c r="F4" s="24" t="s">
        <v>124</v>
      </c>
      <c r="G4" s="24"/>
      <c r="H4" s="24"/>
      <c r="I4" s="24" t="s">
        <v>125</v>
      </c>
      <c r="J4" s="24" t="s">
        <v>126</v>
      </c>
      <c r="K4" s="30" t="s">
        <v>119</v>
      </c>
      <c r="L4" s="30" t="n">
        <f aca="false">8.5 * 1.578</f>
        <v>13.413</v>
      </c>
      <c r="M4" s="24" t="s">
        <v>111</v>
      </c>
      <c r="N4" s="24" t="s">
        <v>121</v>
      </c>
    </row>
    <row r="5" customFormat="false" ht="15.75" hidden="false" customHeight="true" outlineLevel="0" collapsed="false">
      <c r="A5" s="28"/>
      <c r="B5" s="29"/>
      <c r="C5" s="24"/>
      <c r="D5" s="24"/>
      <c r="E5" s="24" t="s">
        <v>48</v>
      </c>
      <c r="F5" s="24"/>
      <c r="G5" s="24"/>
      <c r="H5" s="24"/>
      <c r="I5" s="24"/>
      <c r="J5" s="24"/>
      <c r="K5" s="31" t="s">
        <v>127</v>
      </c>
      <c r="L5" s="32" t="n">
        <f aca="false">PI()*8.5*0.016</f>
        <v>0.427256600888212</v>
      </c>
      <c r="M5" s="24" t="s">
        <v>128</v>
      </c>
      <c r="N5" s="24" t="s">
        <v>49</v>
      </c>
    </row>
    <row r="6" customFormat="false" ht="15.75" hidden="false" customHeight="true" outlineLevel="0" collapsed="false">
      <c r="A6" s="28"/>
      <c r="B6" s="33" t="s">
        <v>129</v>
      </c>
      <c r="C6" s="25" t="s">
        <v>130</v>
      </c>
      <c r="D6" s="25" t="s">
        <v>131</v>
      </c>
      <c r="E6" s="25" t="s">
        <v>132</v>
      </c>
      <c r="F6" s="25" t="s">
        <v>133</v>
      </c>
      <c r="G6" s="25" t="s">
        <v>134</v>
      </c>
      <c r="H6" s="25"/>
      <c r="I6" s="25" t="s">
        <v>135</v>
      </c>
      <c r="J6" s="25" t="s">
        <v>136</v>
      </c>
      <c r="K6" s="25" t="s">
        <v>137</v>
      </c>
      <c r="L6" s="34" t="s">
        <v>120</v>
      </c>
      <c r="M6" s="25" t="s">
        <v>111</v>
      </c>
      <c r="N6" s="25" t="s">
        <v>62</v>
      </c>
    </row>
    <row r="7" customFormat="false" ht="15.75" hidden="false" customHeight="true" outlineLevel="0" collapsed="false">
      <c r="A7" s="28"/>
      <c r="B7" s="35"/>
      <c r="C7" s="25"/>
      <c r="D7" s="25"/>
      <c r="E7" s="25" t="s">
        <v>64</v>
      </c>
      <c r="F7" s="36" t="s">
        <v>138</v>
      </c>
      <c r="G7" s="25"/>
      <c r="H7" s="25"/>
      <c r="I7" s="36" t="s">
        <v>138</v>
      </c>
      <c r="J7" s="36" t="s">
        <v>138</v>
      </c>
      <c r="K7" s="36" t="s">
        <v>138</v>
      </c>
      <c r="L7" s="36" t="s">
        <v>138</v>
      </c>
      <c r="M7" s="36" t="s">
        <v>138</v>
      </c>
      <c r="N7" s="25" t="s">
        <v>65</v>
      </c>
    </row>
    <row r="8" customFormat="false" ht="60" hidden="false" customHeight="true" outlineLevel="0" collapsed="false">
      <c r="A8" s="28"/>
      <c r="B8" s="35"/>
      <c r="C8" s="24" t="s">
        <v>139</v>
      </c>
      <c r="D8" s="24" t="s">
        <v>140</v>
      </c>
      <c r="E8" s="24" t="s">
        <v>132</v>
      </c>
      <c r="F8" s="24" t="s">
        <v>141</v>
      </c>
      <c r="G8" s="24"/>
      <c r="H8" s="24"/>
      <c r="I8" s="24" t="s">
        <v>142</v>
      </c>
      <c r="J8" s="24" t="s">
        <v>136</v>
      </c>
      <c r="K8" s="30" t="s">
        <v>143</v>
      </c>
      <c r="L8" s="37" t="s">
        <v>120</v>
      </c>
      <c r="M8" s="24" t="s">
        <v>111</v>
      </c>
      <c r="N8" s="24" t="s">
        <v>62</v>
      </c>
    </row>
    <row r="9" customFormat="false" ht="33.75" hidden="false" customHeight="true" outlineLevel="0" collapsed="false">
      <c r="A9" s="28"/>
      <c r="B9" s="35"/>
      <c r="C9" s="24"/>
      <c r="D9" s="24"/>
      <c r="E9" s="24" t="s">
        <v>64</v>
      </c>
      <c r="F9" s="38" t="s">
        <v>138</v>
      </c>
      <c r="G9" s="24"/>
      <c r="H9" s="24"/>
      <c r="I9" s="38" t="s">
        <v>138</v>
      </c>
      <c r="J9" s="38" t="s">
        <v>138</v>
      </c>
      <c r="K9" s="38" t="s">
        <v>138</v>
      </c>
      <c r="L9" s="38" t="s">
        <v>138</v>
      </c>
      <c r="M9" s="38" t="s">
        <v>138</v>
      </c>
      <c r="N9" s="24" t="s">
        <v>65</v>
      </c>
    </row>
    <row r="10" customFormat="false" ht="42.75" hidden="false" customHeight="true" outlineLevel="0" collapsed="false">
      <c r="A10" s="28"/>
      <c r="B10" s="35"/>
      <c r="C10" s="25" t="s">
        <v>144</v>
      </c>
      <c r="D10" s="25" t="s">
        <v>145</v>
      </c>
      <c r="E10" s="25" t="s">
        <v>132</v>
      </c>
      <c r="F10" s="25" t="s">
        <v>146</v>
      </c>
      <c r="G10" s="25"/>
      <c r="H10" s="25"/>
      <c r="I10" s="25" t="s">
        <v>147</v>
      </c>
      <c r="J10" s="25" t="s">
        <v>136</v>
      </c>
      <c r="K10" s="25" t="s">
        <v>148</v>
      </c>
      <c r="L10" s="34" t="s">
        <v>120</v>
      </c>
      <c r="M10" s="25" t="s">
        <v>111</v>
      </c>
      <c r="N10" s="25" t="s">
        <v>62</v>
      </c>
    </row>
    <row r="11" customFormat="false" ht="27.75" hidden="false" customHeight="true" outlineLevel="0" collapsed="false">
      <c r="A11" s="28"/>
      <c r="B11" s="35"/>
      <c r="C11" s="39"/>
      <c r="D11" s="39"/>
      <c r="E11" s="25" t="s">
        <v>64</v>
      </c>
      <c r="F11" s="25"/>
      <c r="G11" s="25"/>
      <c r="H11" s="25"/>
      <c r="I11" s="36" t="s">
        <v>138</v>
      </c>
      <c r="J11" s="36" t="s">
        <v>138</v>
      </c>
      <c r="K11" s="36" t="s">
        <v>138</v>
      </c>
      <c r="L11" s="36" t="s">
        <v>138</v>
      </c>
      <c r="M11" s="36" t="s">
        <v>138</v>
      </c>
      <c r="N11" s="25" t="s">
        <v>65</v>
      </c>
    </row>
    <row r="12" customFormat="false" ht="45.75" hidden="false" customHeight="true" outlineLevel="0" collapsed="false">
      <c r="A12" s="28"/>
      <c r="B12" s="35"/>
      <c r="C12" s="24" t="s">
        <v>149</v>
      </c>
      <c r="D12" s="24" t="s">
        <v>150</v>
      </c>
      <c r="E12" s="24" t="s">
        <v>45</v>
      </c>
      <c r="F12" s="24" t="s">
        <v>151</v>
      </c>
      <c r="G12" s="24"/>
      <c r="H12" s="24"/>
      <c r="I12" s="24" t="s">
        <v>152</v>
      </c>
      <c r="J12" s="24" t="s">
        <v>136</v>
      </c>
      <c r="K12" s="30" t="s">
        <v>153</v>
      </c>
      <c r="L12" s="31" t="n">
        <f aca="false">7850*PI()*0.018^2*1/4</f>
        <v>1.99758168878507</v>
      </c>
      <c r="M12" s="24" t="s">
        <v>111</v>
      </c>
      <c r="N12" s="24" t="s">
        <v>68</v>
      </c>
    </row>
    <row r="13" customFormat="false" ht="27.75" hidden="false" customHeight="true" outlineLevel="0" collapsed="false">
      <c r="A13" s="28"/>
      <c r="B13" s="35"/>
      <c r="C13" s="24"/>
      <c r="D13" s="24"/>
      <c r="E13" s="24" t="s">
        <v>83</v>
      </c>
      <c r="F13" s="24"/>
      <c r="G13" s="24"/>
      <c r="H13" s="24"/>
      <c r="I13" s="38" t="s">
        <v>138</v>
      </c>
      <c r="J13" s="38" t="s">
        <v>138</v>
      </c>
      <c r="K13" s="38" t="s">
        <v>138</v>
      </c>
      <c r="L13" s="38" t="s">
        <v>138</v>
      </c>
      <c r="M13" s="38" t="s">
        <v>138</v>
      </c>
      <c r="N13" s="24" t="s">
        <v>88</v>
      </c>
    </row>
    <row r="14" customFormat="false" ht="24.75" hidden="false" customHeight="true" outlineLevel="0" collapsed="false">
      <c r="A14" s="28"/>
      <c r="B14" s="35"/>
      <c r="C14" s="24"/>
      <c r="D14" s="24"/>
      <c r="E14" s="24" t="s">
        <v>48</v>
      </c>
      <c r="F14" s="24"/>
      <c r="G14" s="24"/>
      <c r="H14" s="24"/>
      <c r="I14" s="24"/>
      <c r="J14" s="24"/>
      <c r="K14" s="30" t="s">
        <v>154</v>
      </c>
      <c r="L14" s="32" t="n">
        <f aca="false">PI()*0.018*1</f>
        <v>0.0565486677646163</v>
      </c>
      <c r="M14" s="24" t="s">
        <v>128</v>
      </c>
      <c r="N14" s="24" t="s">
        <v>155</v>
      </c>
    </row>
    <row r="15" customFormat="false" ht="39.75" hidden="false" customHeight="true" outlineLevel="0" collapsed="false">
      <c r="A15" s="28"/>
      <c r="B15" s="35"/>
      <c r="C15" s="25" t="s">
        <v>156</v>
      </c>
      <c r="D15" s="25" t="s">
        <v>157</v>
      </c>
      <c r="E15" s="25" t="s">
        <v>158</v>
      </c>
      <c r="F15" s="25" t="s">
        <v>159</v>
      </c>
      <c r="G15" s="25"/>
      <c r="H15" s="25"/>
      <c r="I15" s="25" t="s">
        <v>160</v>
      </c>
      <c r="J15" s="25" t="s">
        <v>136</v>
      </c>
      <c r="K15" s="25" t="s">
        <v>161</v>
      </c>
      <c r="L15" s="27" t="s">
        <v>120</v>
      </c>
      <c r="M15" s="25" t="s">
        <v>111</v>
      </c>
      <c r="N15" s="25" t="s">
        <v>68</v>
      </c>
    </row>
    <row r="16" customFormat="false" ht="31.5" hidden="false" customHeight="true" outlineLevel="0" collapsed="false">
      <c r="A16" s="28"/>
      <c r="B16" s="35"/>
      <c r="C16" s="40" t="s">
        <v>162</v>
      </c>
      <c r="D16" s="40" t="s">
        <v>163</v>
      </c>
      <c r="E16" s="40" t="s">
        <v>158</v>
      </c>
      <c r="F16" s="40" t="s">
        <v>164</v>
      </c>
      <c r="G16" s="24"/>
      <c r="H16" s="24"/>
      <c r="I16" s="40" t="s">
        <v>165</v>
      </c>
      <c r="J16" s="40" t="s">
        <v>136</v>
      </c>
      <c r="K16" s="24" t="s">
        <v>166</v>
      </c>
      <c r="L16" s="24" t="n">
        <f aca="false">7850*1*0.1*0.01</f>
        <v>7.85</v>
      </c>
      <c r="M16" s="40" t="s">
        <v>111</v>
      </c>
      <c r="N16" s="24" t="s">
        <v>68</v>
      </c>
    </row>
    <row r="17" customFormat="false" ht="33" hidden="false" customHeight="true" outlineLevel="0" collapsed="false">
      <c r="A17" s="28"/>
      <c r="B17" s="35"/>
      <c r="C17" s="40"/>
      <c r="D17" s="40"/>
      <c r="E17" s="40" t="s">
        <v>167</v>
      </c>
      <c r="F17" s="24"/>
      <c r="G17" s="24"/>
      <c r="H17" s="24"/>
      <c r="I17" s="40" t="s">
        <v>168</v>
      </c>
      <c r="J17" s="40" t="s">
        <v>136</v>
      </c>
      <c r="K17" s="24" t="s">
        <v>169</v>
      </c>
      <c r="L17" s="24" t="n">
        <f aca="false">7850*1*0.06*0.008*2</f>
        <v>7.536</v>
      </c>
      <c r="M17" s="40" t="s">
        <v>111</v>
      </c>
      <c r="N17" s="24" t="s">
        <v>68</v>
      </c>
    </row>
    <row r="18" customFormat="false" ht="15.75" hidden="false" customHeight="true" outlineLevel="0" collapsed="false">
      <c r="A18" s="28"/>
      <c r="B18" s="33"/>
      <c r="C18" s="25" t="s">
        <v>170</v>
      </c>
      <c r="D18" s="25" t="s">
        <v>171</v>
      </c>
      <c r="E18" s="25"/>
      <c r="F18" s="25" t="s">
        <v>172</v>
      </c>
      <c r="G18" s="25"/>
      <c r="H18" s="25"/>
      <c r="I18" s="25" t="s">
        <v>173</v>
      </c>
      <c r="J18" s="25"/>
      <c r="K18" s="25"/>
      <c r="L18" s="25"/>
      <c r="M18" s="25"/>
      <c r="N18" s="25" t="s">
        <v>174</v>
      </c>
    </row>
    <row r="19" customFormat="false" ht="15.75" hidden="false" customHeight="true" outlineLevel="0" collapsed="false">
      <c r="A19" s="28"/>
      <c r="B19" s="41" t="s">
        <v>175</v>
      </c>
      <c r="C19" s="24" t="s">
        <v>176</v>
      </c>
      <c r="D19" s="24" t="s">
        <v>177</v>
      </c>
      <c r="E19" s="24" t="s">
        <v>45</v>
      </c>
      <c r="F19" s="24" t="s">
        <v>178</v>
      </c>
      <c r="G19" s="24" t="s">
        <v>179</v>
      </c>
      <c r="H19" s="24"/>
      <c r="I19" s="24"/>
      <c r="J19" s="24"/>
      <c r="K19" s="24" t="s">
        <v>180</v>
      </c>
      <c r="L19" s="42" t="s">
        <v>120</v>
      </c>
      <c r="M19" s="24" t="s">
        <v>111</v>
      </c>
      <c r="N19" s="24" t="s">
        <v>68</v>
      </c>
    </row>
    <row r="20" customFormat="false" ht="15.75" hidden="false" customHeight="true" outlineLevel="0" collapsed="false">
      <c r="A20" s="28"/>
      <c r="B20" s="41"/>
      <c r="C20" s="24"/>
      <c r="D20" s="24"/>
      <c r="E20" s="24" t="s">
        <v>83</v>
      </c>
      <c r="F20" s="24"/>
      <c r="G20" s="24"/>
      <c r="H20" s="24"/>
      <c r="I20" s="24"/>
      <c r="J20" s="24"/>
      <c r="K20" s="38" t="s">
        <v>138</v>
      </c>
      <c r="L20" s="38" t="s">
        <v>138</v>
      </c>
      <c r="M20" s="24" t="s">
        <v>111</v>
      </c>
      <c r="N20" s="24" t="s">
        <v>88</v>
      </c>
    </row>
    <row r="21" customFormat="false" ht="15.75" hidden="false" customHeight="true" outlineLevel="0" collapsed="false">
      <c r="A21" s="28"/>
      <c r="B21" s="41"/>
      <c r="C21" s="24"/>
      <c r="D21" s="24"/>
      <c r="E21" s="24" t="s">
        <v>48</v>
      </c>
      <c r="F21" s="24"/>
      <c r="G21" s="24"/>
      <c r="H21" s="24"/>
      <c r="I21" s="24"/>
      <c r="J21" s="24"/>
      <c r="K21" s="43" t="s">
        <v>181</v>
      </c>
      <c r="L21" s="42" t="s">
        <v>120</v>
      </c>
      <c r="M21" s="24" t="s">
        <v>128</v>
      </c>
      <c r="N21" s="24" t="s">
        <v>49</v>
      </c>
    </row>
    <row r="22" customFormat="false" ht="15.75" hidden="false" customHeight="true" outlineLevel="0" collapsed="false">
      <c r="A22" s="28"/>
      <c r="B22" s="41"/>
      <c r="C22" s="25" t="s">
        <v>182</v>
      </c>
      <c r="D22" s="25" t="s">
        <v>183</v>
      </c>
      <c r="E22" s="25" t="s">
        <v>132</v>
      </c>
      <c r="F22" s="25" t="s">
        <v>184</v>
      </c>
      <c r="G22" s="25" t="s">
        <v>185</v>
      </c>
      <c r="H22" s="25"/>
      <c r="I22" s="25" t="s">
        <v>186</v>
      </c>
      <c r="J22" s="25" t="s">
        <v>187</v>
      </c>
      <c r="K22" s="26" t="s">
        <v>188</v>
      </c>
      <c r="L22" s="27" t="s">
        <v>120</v>
      </c>
      <c r="M22" s="25" t="s">
        <v>111</v>
      </c>
      <c r="N22" s="25" t="s">
        <v>62</v>
      </c>
    </row>
    <row r="23" customFormat="false" ht="15.75" hidden="false" customHeight="true" outlineLevel="0" collapsed="false">
      <c r="A23" s="28"/>
      <c r="B23" s="29"/>
      <c r="C23" s="25"/>
      <c r="D23" s="25"/>
      <c r="E23" s="25" t="s">
        <v>25</v>
      </c>
      <c r="F23" s="36" t="s">
        <v>138</v>
      </c>
      <c r="G23" s="25"/>
      <c r="H23" s="25"/>
      <c r="I23" s="36" t="s">
        <v>138</v>
      </c>
      <c r="J23" s="36" t="s">
        <v>138</v>
      </c>
      <c r="K23" s="36" t="s">
        <v>138</v>
      </c>
      <c r="L23" s="36" t="s">
        <v>138</v>
      </c>
      <c r="M23" s="36" t="s">
        <v>138</v>
      </c>
      <c r="N23" s="44" t="s">
        <v>189</v>
      </c>
    </row>
    <row r="24" customFormat="false" ht="15.75" hidden="false" customHeight="true" outlineLevel="0" collapsed="false">
      <c r="A24" s="28"/>
      <c r="B24" s="29"/>
      <c r="C24" s="25"/>
      <c r="D24" s="25"/>
      <c r="E24" s="25" t="s">
        <v>48</v>
      </c>
      <c r="F24" s="45" t="s">
        <v>190</v>
      </c>
      <c r="G24" s="25"/>
      <c r="H24" s="25"/>
      <c r="I24" s="36"/>
      <c r="J24" s="36"/>
      <c r="K24" s="45" t="s">
        <v>191</v>
      </c>
      <c r="L24" s="34" t="s">
        <v>120</v>
      </c>
      <c r="M24" s="45" t="s">
        <v>128</v>
      </c>
      <c r="N24" s="25" t="s">
        <v>49</v>
      </c>
    </row>
    <row r="25" customFormat="false" ht="30" hidden="false" customHeight="true" outlineLevel="0" collapsed="false">
      <c r="A25" s="28"/>
      <c r="B25" s="29"/>
      <c r="C25" s="24" t="s">
        <v>192</v>
      </c>
      <c r="D25" s="24" t="s">
        <v>193</v>
      </c>
      <c r="E25" s="24" t="s">
        <v>158</v>
      </c>
      <c r="F25" s="43" t="s">
        <v>194</v>
      </c>
      <c r="G25" s="24"/>
      <c r="H25" s="24"/>
      <c r="I25" s="43" t="s">
        <v>195</v>
      </c>
      <c r="J25" s="43" t="s">
        <v>196</v>
      </c>
      <c r="K25" s="43" t="s">
        <v>197</v>
      </c>
      <c r="L25" s="42" t="n">
        <f aca="false">1.2 * 9.42</f>
        <v>11.304</v>
      </c>
      <c r="M25" s="43" t="s">
        <v>111</v>
      </c>
      <c r="N25" s="24" t="s">
        <v>68</v>
      </c>
    </row>
    <row r="26" customFormat="false" ht="15.75" hidden="false" customHeight="true" outlineLevel="0" collapsed="false">
      <c r="A26" s="28"/>
      <c r="B26" s="33" t="s">
        <v>198</v>
      </c>
      <c r="C26" s="25" t="s">
        <v>199</v>
      </c>
      <c r="D26" s="25" t="s">
        <v>200</v>
      </c>
      <c r="E26" s="25" t="s">
        <v>201</v>
      </c>
      <c r="F26" s="25" t="s">
        <v>202</v>
      </c>
      <c r="G26" s="25" t="s">
        <v>203</v>
      </c>
      <c r="H26" s="25"/>
      <c r="I26" s="25" t="s">
        <v>204</v>
      </c>
      <c r="J26" s="25" t="s">
        <v>205</v>
      </c>
      <c r="K26" s="25" t="s">
        <v>206</v>
      </c>
      <c r="L26" s="34" t="s">
        <v>120</v>
      </c>
      <c r="M26" s="25" t="s">
        <v>111</v>
      </c>
      <c r="N26" s="25" t="s">
        <v>23</v>
      </c>
    </row>
    <row r="27" customFormat="false" ht="15.75" hidden="false" customHeight="true" outlineLevel="0" collapsed="false">
      <c r="A27" s="28"/>
      <c r="B27" s="35"/>
      <c r="C27" s="25"/>
      <c r="D27" s="25"/>
      <c r="E27" s="25" t="s">
        <v>25</v>
      </c>
      <c r="F27" s="36" t="s">
        <v>138</v>
      </c>
      <c r="G27" s="25"/>
      <c r="H27" s="25"/>
      <c r="I27" s="36" t="s">
        <v>138</v>
      </c>
      <c r="J27" s="36" t="s">
        <v>138</v>
      </c>
      <c r="K27" s="36" t="s">
        <v>138</v>
      </c>
      <c r="L27" s="36" t="s">
        <v>138</v>
      </c>
      <c r="M27" s="36" t="s">
        <v>138</v>
      </c>
      <c r="N27" s="25" t="s">
        <v>26</v>
      </c>
    </row>
    <row r="28" customFormat="false" ht="15.75" hidden="false" customHeight="true" outlineLevel="0" collapsed="false">
      <c r="A28" s="28"/>
      <c r="B28" s="35"/>
      <c r="C28" s="24" t="s">
        <v>207</v>
      </c>
      <c r="D28" s="24" t="s">
        <v>208</v>
      </c>
      <c r="E28" s="24" t="s">
        <v>209</v>
      </c>
      <c r="F28" s="24" t="s">
        <v>210</v>
      </c>
      <c r="G28" s="24"/>
      <c r="H28" s="24"/>
      <c r="I28" s="24" t="s">
        <v>211</v>
      </c>
      <c r="J28" s="24" t="s">
        <v>212</v>
      </c>
      <c r="K28" s="24"/>
      <c r="L28" s="24"/>
      <c r="M28" s="24"/>
      <c r="N28" s="24" t="s">
        <v>213</v>
      </c>
    </row>
    <row r="29" customFormat="false" ht="15.75" hidden="false" customHeight="true" outlineLevel="0" collapsed="false">
      <c r="A29" s="28"/>
      <c r="B29" s="33"/>
      <c r="C29" s="24"/>
      <c r="D29" s="24"/>
      <c r="E29" s="24" t="s">
        <v>214</v>
      </c>
      <c r="F29" s="24"/>
      <c r="G29" s="24"/>
      <c r="H29" s="24"/>
      <c r="I29" s="38" t="s">
        <v>138</v>
      </c>
      <c r="J29" s="38" t="s">
        <v>138</v>
      </c>
      <c r="K29" s="38" t="s">
        <v>138</v>
      </c>
      <c r="L29" s="38" t="s">
        <v>138</v>
      </c>
      <c r="M29" s="38" t="s">
        <v>138</v>
      </c>
      <c r="N29" s="24" t="s">
        <v>215</v>
      </c>
    </row>
    <row r="30" customFormat="false" ht="15.75" hidden="false" customHeight="true" outlineLevel="0" collapsed="false">
      <c r="A30" s="28"/>
      <c r="B30" s="33"/>
      <c r="C30" s="24"/>
      <c r="D30" s="24"/>
      <c r="E30" s="24" t="s">
        <v>216</v>
      </c>
      <c r="F30" s="24"/>
      <c r="G30" s="24"/>
      <c r="H30" s="24"/>
      <c r="I30" s="24"/>
      <c r="J30" s="24"/>
      <c r="K30" s="24"/>
      <c r="L30" s="46" t="n">
        <v>2.12E-011</v>
      </c>
      <c r="M30" s="24" t="s">
        <v>217</v>
      </c>
      <c r="N30" s="24" t="s">
        <v>218</v>
      </c>
    </row>
    <row r="31" customFormat="false" ht="15.75" hidden="false" customHeight="true" outlineLevel="0" collapsed="false">
      <c r="A31" s="47"/>
      <c r="B31" s="48"/>
      <c r="C31" s="49"/>
      <c r="D31" s="49"/>
      <c r="E31" s="49" t="s">
        <v>219</v>
      </c>
      <c r="F31" s="49"/>
      <c r="G31" s="49"/>
      <c r="H31" s="49"/>
      <c r="I31" s="49"/>
      <c r="J31" s="49"/>
      <c r="K31" s="49"/>
      <c r="L31" s="50" t="s">
        <v>220</v>
      </c>
      <c r="M31" s="49" t="s">
        <v>111</v>
      </c>
      <c r="N31" s="49" t="s">
        <v>221</v>
      </c>
    </row>
    <row r="32" customFormat="false" ht="15.75" hidden="false" customHeight="true" outlineLevel="0" collapsed="false">
      <c r="A32" s="51"/>
      <c r="B32" s="51"/>
      <c r="C32" s="51"/>
      <c r="D32" s="51"/>
      <c r="E32" s="51"/>
      <c r="F32" s="51"/>
      <c r="G32" s="51"/>
      <c r="H32" s="51"/>
      <c r="I32" s="51"/>
      <c r="J32" s="51"/>
      <c r="K32" s="51"/>
      <c r="L32" s="51"/>
      <c r="M32" s="51"/>
      <c r="N32" s="51"/>
    </row>
    <row r="33" customFormat="false" ht="15.75" hidden="false" customHeight="true" outlineLevel="0" collapsed="false">
      <c r="A33" s="51"/>
      <c r="B33" s="51"/>
      <c r="C33" s="51"/>
      <c r="D33" s="51"/>
      <c r="E33" s="51"/>
      <c r="F33" s="51"/>
      <c r="G33" s="51"/>
      <c r="H33" s="51"/>
      <c r="I33" s="51"/>
      <c r="J33" s="51"/>
      <c r="K33" s="51"/>
      <c r="L33" s="51"/>
      <c r="M33" s="51"/>
      <c r="N33" s="51"/>
    </row>
    <row r="34" customFormat="false" ht="15.75" hidden="false" customHeight="true" outlineLevel="0" collapsed="false">
      <c r="A34" s="51"/>
      <c r="B34" s="51"/>
      <c r="C34" s="51"/>
      <c r="D34" s="51"/>
      <c r="E34" s="51"/>
      <c r="F34" s="51"/>
      <c r="G34" s="51"/>
      <c r="H34" s="51"/>
      <c r="I34" s="51"/>
      <c r="J34" s="51"/>
      <c r="K34" s="51"/>
      <c r="L34" s="51"/>
      <c r="M34" s="51"/>
      <c r="N34" s="51"/>
    </row>
    <row r="35" customFormat="false" ht="15.75" hidden="false" customHeight="true" outlineLevel="0" collapsed="false">
      <c r="A35" s="51"/>
      <c r="B35" s="51"/>
      <c r="C35" s="51"/>
      <c r="D35" s="51"/>
      <c r="E35" s="51"/>
      <c r="F35" s="51"/>
      <c r="G35" s="51"/>
      <c r="H35" s="51"/>
      <c r="I35" s="51"/>
      <c r="J35" s="51"/>
      <c r="K35" s="51"/>
      <c r="L35" s="51"/>
      <c r="M35" s="51"/>
      <c r="N35" s="51"/>
    </row>
    <row r="36" customFormat="false" ht="15.75" hidden="false" customHeight="true" outlineLevel="0" collapsed="false">
      <c r="A36" s="51"/>
      <c r="B36" s="51"/>
      <c r="C36" s="51"/>
      <c r="D36" s="51"/>
      <c r="E36" s="51"/>
      <c r="F36" s="51"/>
      <c r="G36" s="51"/>
      <c r="H36" s="51"/>
      <c r="I36" s="51"/>
      <c r="J36" s="51"/>
      <c r="K36" s="51"/>
      <c r="L36" s="51"/>
      <c r="M36" s="51"/>
      <c r="N36" s="51"/>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conditionalFormatting sqref="F5">
    <cfRule type="colorScale" priority="2">
      <colorScale>
        <cfvo type="min" val="0"/>
        <cfvo type="max" val="0"/>
        <color rgb="FFFFFFFF"/>
        <color rgb="FF57BB8A"/>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G31" activeCellId="0" sqref="G31"/>
    </sheetView>
  </sheetViews>
  <sheetFormatPr defaultColWidth="12.66796875" defaultRowHeight="15" zeroHeight="false" outlineLevelRow="0" outlineLevelCol="0"/>
  <cols>
    <col collapsed="false" customWidth="true" hidden="false" outlineLevel="0" max="1" min="1" style="0" width="12.11"/>
    <col collapsed="false" customWidth="true" hidden="false" outlineLevel="0" max="6" min="6" style="0" width="27.11"/>
    <col collapsed="false" customWidth="true" hidden="false" outlineLevel="0" max="7" min="7" style="0" width="40.33"/>
  </cols>
  <sheetData>
    <row r="1" customFormat="false" ht="15.75" hidden="false" customHeight="true" outlineLevel="0" collapsed="false">
      <c r="A1" s="1" t="s">
        <v>97</v>
      </c>
      <c r="B1" s="2" t="s">
        <v>0</v>
      </c>
      <c r="C1" s="2" t="s">
        <v>1</v>
      </c>
      <c r="D1" s="2" t="s">
        <v>2</v>
      </c>
      <c r="E1" s="2" t="s">
        <v>3</v>
      </c>
      <c r="F1" s="2" t="s">
        <v>5</v>
      </c>
      <c r="G1" s="2" t="s">
        <v>4</v>
      </c>
    </row>
    <row r="2" customFormat="false" ht="15.75" hidden="false" customHeight="true" outlineLevel="0" collapsed="false">
      <c r="A2" s="52" t="s">
        <v>222</v>
      </c>
      <c r="B2" s="53" t="s">
        <v>223</v>
      </c>
      <c r="C2" s="54" t="s">
        <v>224</v>
      </c>
      <c r="D2" s="54" t="s">
        <v>225</v>
      </c>
      <c r="E2" s="54" t="s">
        <v>226</v>
      </c>
      <c r="F2" s="55" t="s">
        <v>227</v>
      </c>
      <c r="G2" s="54" t="s">
        <v>228</v>
      </c>
    </row>
    <row r="3" customFormat="false" ht="15.75" hidden="false" customHeight="true" outlineLevel="0" collapsed="false">
      <c r="A3" s="56"/>
      <c r="B3" s="57" t="s">
        <v>229</v>
      </c>
      <c r="C3" s="58" t="s">
        <v>230</v>
      </c>
      <c r="D3" s="58" t="s">
        <v>231</v>
      </c>
      <c r="E3" s="58" t="s">
        <v>232</v>
      </c>
      <c r="F3" s="58" t="s">
        <v>233</v>
      </c>
      <c r="G3" s="58" t="s">
        <v>234</v>
      </c>
    </row>
    <row r="4" customFormat="false" ht="15.75" hidden="false" customHeight="true" outlineLevel="0" collapsed="false">
      <c r="A4" s="56"/>
      <c r="B4" s="53" t="s">
        <v>235</v>
      </c>
      <c r="C4" s="54" t="s">
        <v>236</v>
      </c>
      <c r="D4" s="54" t="s">
        <v>237</v>
      </c>
      <c r="E4" s="54" t="s">
        <v>238</v>
      </c>
      <c r="F4" s="55" t="s">
        <v>239</v>
      </c>
      <c r="G4" s="54" t="s">
        <v>240</v>
      </c>
    </row>
    <row r="5" customFormat="false" ht="15.75" hidden="false" customHeight="true" outlineLevel="0" collapsed="false">
      <c r="A5" s="56"/>
      <c r="B5" s="57" t="s">
        <v>241</v>
      </c>
      <c r="C5" s="58" t="s">
        <v>242</v>
      </c>
      <c r="D5" s="58" t="s">
        <v>243</v>
      </c>
      <c r="E5" s="58" t="s">
        <v>244</v>
      </c>
      <c r="F5" s="58"/>
      <c r="G5" s="58" t="s">
        <v>245</v>
      </c>
    </row>
    <row r="6" customFormat="false" ht="15.75" hidden="false" customHeight="true" outlineLevel="0" collapsed="false">
      <c r="A6" s="56"/>
      <c r="B6" s="57" t="s">
        <v>246</v>
      </c>
      <c r="C6" s="59"/>
      <c r="D6" s="58"/>
      <c r="E6" s="58" t="s">
        <v>247</v>
      </c>
      <c r="F6" s="58"/>
      <c r="G6" s="58" t="s">
        <v>248</v>
      </c>
    </row>
    <row r="7" customFormat="false" ht="15.75" hidden="false" customHeight="true" outlineLevel="0" collapsed="false">
      <c r="A7" s="56"/>
      <c r="B7" s="57" t="s">
        <v>249</v>
      </c>
      <c r="C7" s="59"/>
      <c r="D7" s="58"/>
      <c r="E7" s="58" t="s">
        <v>250</v>
      </c>
      <c r="F7" s="58"/>
      <c r="G7" s="58" t="s">
        <v>251</v>
      </c>
    </row>
    <row r="8" customFormat="false" ht="15.75" hidden="false" customHeight="true" outlineLevel="0" collapsed="false">
      <c r="A8" s="56"/>
      <c r="B8" s="60"/>
      <c r="C8" s="59"/>
      <c r="D8" s="58"/>
      <c r="E8" s="58" t="s">
        <v>252</v>
      </c>
      <c r="F8" s="58"/>
      <c r="G8" s="58" t="s">
        <v>253</v>
      </c>
    </row>
    <row r="9" customFormat="false" ht="15.75" hidden="false" customHeight="true" outlineLevel="0" collapsed="false">
      <c r="A9" s="56"/>
      <c r="B9" s="60"/>
      <c r="C9" s="59"/>
      <c r="D9" s="58"/>
      <c r="E9" s="58" t="s">
        <v>254</v>
      </c>
      <c r="F9" s="58"/>
      <c r="G9" s="58" t="s">
        <v>255</v>
      </c>
    </row>
    <row r="10" customFormat="false" ht="15.75" hidden="false" customHeight="true" outlineLevel="0" collapsed="false">
      <c r="A10" s="56"/>
      <c r="B10" s="60"/>
      <c r="C10" s="59"/>
      <c r="D10" s="58"/>
      <c r="E10" s="58" t="s">
        <v>256</v>
      </c>
      <c r="F10" s="58"/>
      <c r="G10" s="58" t="s">
        <v>257</v>
      </c>
    </row>
    <row r="11" customFormat="false" ht="15.75" hidden="false" customHeight="true" outlineLevel="0" collapsed="false">
      <c r="A11" s="56"/>
      <c r="B11" s="60"/>
      <c r="C11" s="59"/>
      <c r="D11" s="58"/>
      <c r="E11" s="58" t="s">
        <v>258</v>
      </c>
      <c r="F11" s="58"/>
      <c r="G11" s="58" t="s">
        <v>259</v>
      </c>
    </row>
    <row r="12" customFormat="false" ht="15.75" hidden="false" customHeight="true" outlineLevel="0" collapsed="false">
      <c r="A12" s="56"/>
      <c r="B12" s="60"/>
      <c r="C12" s="54" t="s">
        <v>260</v>
      </c>
      <c r="D12" s="54" t="s">
        <v>260</v>
      </c>
      <c r="E12" s="54" t="s">
        <v>260</v>
      </c>
      <c r="F12" s="54"/>
      <c r="G12" s="54" t="s">
        <v>261</v>
      </c>
    </row>
    <row r="13" customFormat="false" ht="15.75" hidden="false" customHeight="true" outlineLevel="0" collapsed="false">
      <c r="A13" s="56"/>
      <c r="B13" s="60"/>
      <c r="C13" s="61"/>
      <c r="D13" s="54"/>
      <c r="E13" s="54" t="s">
        <v>262</v>
      </c>
      <c r="F13" s="54"/>
      <c r="G13" s="54" t="s">
        <v>263</v>
      </c>
    </row>
    <row r="14" customFormat="false" ht="15.75" hidden="false" customHeight="true" outlineLevel="0" collapsed="false">
      <c r="A14" s="56"/>
      <c r="B14" s="60"/>
      <c r="C14" s="58" t="s">
        <v>264</v>
      </c>
      <c r="D14" s="58" t="s">
        <v>265</v>
      </c>
      <c r="E14" s="58" t="s">
        <v>266</v>
      </c>
      <c r="F14" s="58"/>
      <c r="G14" s="58" t="s">
        <v>267</v>
      </c>
    </row>
    <row r="15" customFormat="false" ht="15.75" hidden="false" customHeight="true" outlineLevel="0" collapsed="false">
      <c r="A15" s="56"/>
      <c r="B15" s="60"/>
      <c r="C15" s="59"/>
      <c r="D15" s="58"/>
      <c r="E15" s="58" t="s">
        <v>268</v>
      </c>
      <c r="F15" s="58"/>
      <c r="G15" s="58" t="s">
        <v>269</v>
      </c>
    </row>
    <row r="16" customFormat="false" ht="15.75" hidden="false" customHeight="true" outlineLevel="0" collapsed="false">
      <c r="A16" s="56"/>
      <c r="B16" s="60"/>
      <c r="C16" s="59"/>
      <c r="D16" s="58"/>
      <c r="E16" s="58" t="s">
        <v>270</v>
      </c>
      <c r="F16" s="58"/>
      <c r="G16" s="58" t="s">
        <v>271</v>
      </c>
    </row>
    <row r="17" customFormat="false" ht="15.75" hidden="false" customHeight="true" outlineLevel="0" collapsed="false">
      <c r="A17" s="56"/>
      <c r="B17" s="60"/>
      <c r="C17" s="59"/>
      <c r="D17" s="58"/>
      <c r="E17" s="58" t="s">
        <v>272</v>
      </c>
      <c r="F17" s="58"/>
      <c r="G17" s="58" t="s">
        <v>273</v>
      </c>
    </row>
    <row r="18" customFormat="false" ht="15.75" hidden="false" customHeight="true" outlineLevel="0" collapsed="false">
      <c r="A18" s="56"/>
      <c r="B18" s="60"/>
      <c r="C18" s="54" t="s">
        <v>274</v>
      </c>
      <c r="D18" s="54" t="s">
        <v>275</v>
      </c>
      <c r="E18" s="54" t="s">
        <v>276</v>
      </c>
      <c r="F18" s="54"/>
      <c r="G18" s="54" t="s">
        <v>277</v>
      </c>
    </row>
    <row r="19" customFormat="false" ht="15.75" hidden="false" customHeight="true" outlineLevel="0" collapsed="false">
      <c r="A19" s="56"/>
      <c r="B19" s="60"/>
      <c r="C19" s="61"/>
      <c r="D19" s="54"/>
      <c r="E19" s="54" t="s">
        <v>278</v>
      </c>
      <c r="F19" s="54"/>
      <c r="G19" s="54" t="s">
        <v>279</v>
      </c>
    </row>
    <row r="20" customFormat="false" ht="15.75" hidden="false" customHeight="true" outlineLevel="0" collapsed="false">
      <c r="A20" s="56"/>
      <c r="B20" s="60"/>
      <c r="C20" s="58" t="s">
        <v>280</v>
      </c>
      <c r="D20" s="58" t="s">
        <v>281</v>
      </c>
      <c r="E20" s="58" t="s">
        <v>282</v>
      </c>
      <c r="F20" s="58"/>
      <c r="G20" s="58" t="s">
        <v>283</v>
      </c>
    </row>
    <row r="21" customFormat="false" ht="15.75" hidden="false" customHeight="true" outlineLevel="0" collapsed="false">
      <c r="A21" s="56"/>
      <c r="B21" s="60"/>
      <c r="C21" s="54" t="s">
        <v>284</v>
      </c>
      <c r="D21" s="54" t="s">
        <v>285</v>
      </c>
      <c r="E21" s="54" t="s">
        <v>284</v>
      </c>
      <c r="F21" s="54"/>
      <c r="G21" s="54" t="s">
        <v>286</v>
      </c>
    </row>
    <row r="22" customFormat="false" ht="15.75" hidden="false" customHeight="true" outlineLevel="0" collapsed="false">
      <c r="A22" s="56"/>
      <c r="B22" s="60"/>
      <c r="C22" s="61"/>
      <c r="D22" s="54"/>
      <c r="E22" s="54" t="s">
        <v>287</v>
      </c>
      <c r="F22" s="54"/>
      <c r="G22" s="54" t="s">
        <v>288</v>
      </c>
    </row>
    <row r="23" customFormat="false" ht="15.75" hidden="false" customHeight="true" outlineLevel="0" collapsed="false">
      <c r="A23" s="56"/>
      <c r="B23" s="60"/>
      <c r="C23" s="61"/>
      <c r="D23" s="54"/>
      <c r="E23" s="54" t="s">
        <v>289</v>
      </c>
      <c r="F23" s="54"/>
      <c r="G23" s="54" t="s">
        <v>290</v>
      </c>
    </row>
    <row r="24" customFormat="false" ht="15.75" hidden="false" customHeight="true" outlineLevel="0" collapsed="false">
      <c r="A24" s="56"/>
      <c r="B24" s="53" t="s">
        <v>291</v>
      </c>
      <c r="C24" s="58" t="s">
        <v>291</v>
      </c>
      <c r="D24" s="58" t="s">
        <v>292</v>
      </c>
      <c r="E24" s="58" t="s">
        <v>293</v>
      </c>
      <c r="F24" s="62" t="s">
        <v>294</v>
      </c>
      <c r="G24" s="58" t="s">
        <v>295</v>
      </c>
    </row>
    <row r="25" customFormat="false" ht="15.75" hidden="false" customHeight="true" outlineLevel="0" collapsed="false">
      <c r="A25" s="56"/>
      <c r="B25" s="63"/>
      <c r="C25" s="59"/>
      <c r="D25" s="58"/>
      <c r="E25" s="58" t="s">
        <v>296</v>
      </c>
      <c r="F25" s="58"/>
      <c r="G25" s="58" t="s">
        <v>23</v>
      </c>
    </row>
    <row r="26" customFormat="false" ht="15.75" hidden="false" customHeight="true" outlineLevel="0" collapsed="false">
      <c r="A26" s="56"/>
      <c r="B26" s="63"/>
      <c r="C26" s="59"/>
      <c r="D26" s="58"/>
      <c r="E26" s="58" t="s">
        <v>297</v>
      </c>
      <c r="F26" s="58"/>
      <c r="G26" s="58" t="s">
        <v>298</v>
      </c>
    </row>
    <row r="27" customFormat="false" ht="15.75" hidden="false" customHeight="true" outlineLevel="0" collapsed="false">
      <c r="A27" s="56"/>
      <c r="B27" s="63"/>
      <c r="C27" s="54" t="s">
        <v>299</v>
      </c>
      <c r="D27" s="54" t="s">
        <v>300</v>
      </c>
      <c r="E27" s="54" t="s">
        <v>301</v>
      </c>
      <c r="F27" s="55" t="s">
        <v>302</v>
      </c>
      <c r="G27" s="54" t="s">
        <v>303</v>
      </c>
    </row>
    <row r="28" customFormat="false" ht="15.75" hidden="false" customHeight="true" outlineLevel="0" collapsed="false">
      <c r="A28" s="56"/>
      <c r="B28" s="63"/>
      <c r="C28" s="61"/>
      <c r="D28" s="54"/>
      <c r="E28" s="54" t="s">
        <v>272</v>
      </c>
      <c r="F28" s="54"/>
      <c r="G28" s="54" t="s">
        <v>273</v>
      </c>
    </row>
    <row r="29" customFormat="false" ht="15.75" hidden="false" customHeight="true" outlineLevel="0" collapsed="false">
      <c r="A29" s="56"/>
      <c r="B29" s="63"/>
      <c r="C29" s="61"/>
      <c r="D29" s="54"/>
      <c r="E29" s="54" t="s">
        <v>268</v>
      </c>
      <c r="F29" s="54"/>
      <c r="G29" s="54" t="s">
        <v>269</v>
      </c>
    </row>
    <row r="30" customFormat="false" ht="15.75" hidden="false" customHeight="true" outlineLevel="0" collapsed="false">
      <c r="A30" s="56"/>
      <c r="B30" s="57" t="s">
        <v>304</v>
      </c>
      <c r="C30" s="58" t="s">
        <v>199</v>
      </c>
      <c r="D30" s="58" t="s">
        <v>200</v>
      </c>
      <c r="E30" s="58" t="s">
        <v>305</v>
      </c>
      <c r="F30" s="62" t="s">
        <v>306</v>
      </c>
      <c r="G30" s="58" t="s">
        <v>307</v>
      </c>
    </row>
    <row r="31" customFormat="false" ht="15.75" hidden="false" customHeight="true" outlineLevel="0" collapsed="false">
      <c r="A31" s="56"/>
      <c r="B31" s="60"/>
      <c r="C31" s="59"/>
      <c r="D31" s="58"/>
      <c r="E31" s="58" t="s">
        <v>308</v>
      </c>
      <c r="F31" s="58"/>
      <c r="G31" s="58" t="s">
        <v>307</v>
      </c>
    </row>
    <row r="32" customFormat="false" ht="15.75" hidden="false" customHeight="true" outlineLevel="0" collapsed="false">
      <c r="A32" s="56"/>
      <c r="B32" s="53" t="s">
        <v>309</v>
      </c>
      <c r="C32" s="61"/>
      <c r="D32" s="54" t="s">
        <v>310</v>
      </c>
      <c r="E32" s="54" t="s">
        <v>311</v>
      </c>
      <c r="F32" s="55" t="s">
        <v>312</v>
      </c>
      <c r="G32" s="54" t="s">
        <v>288</v>
      </c>
    </row>
    <row r="33" customFormat="false" ht="15.75" hidden="false" customHeight="true" outlineLevel="0" collapsed="false">
      <c r="A33" s="56"/>
      <c r="B33" s="57" t="s">
        <v>313</v>
      </c>
      <c r="C33" s="58" t="s">
        <v>314</v>
      </c>
      <c r="D33" s="59" t="s">
        <v>315</v>
      </c>
      <c r="E33" s="59"/>
      <c r="F33" s="59"/>
      <c r="G33" s="58" t="s">
        <v>316</v>
      </c>
    </row>
    <row r="34" customFormat="false" ht="15.75" hidden="false" customHeight="true" outlineLevel="0" collapsed="false">
      <c r="A34" s="56"/>
      <c r="B34" s="60"/>
      <c r="C34" s="58" t="s">
        <v>317</v>
      </c>
      <c r="D34" s="59" t="s">
        <v>318</v>
      </c>
      <c r="E34" s="59"/>
      <c r="F34" s="59"/>
      <c r="G34" s="58" t="s">
        <v>319</v>
      </c>
    </row>
    <row r="35" customFormat="false" ht="15.75" hidden="false" customHeight="true" outlineLevel="0" collapsed="false">
      <c r="A35" s="56"/>
      <c r="B35" s="60"/>
      <c r="C35" s="58" t="s">
        <v>320</v>
      </c>
      <c r="D35" s="59" t="s">
        <v>320</v>
      </c>
      <c r="E35" s="59"/>
      <c r="F35" s="59"/>
      <c r="G35" s="58" t="s">
        <v>321</v>
      </c>
    </row>
    <row r="36" customFormat="false" ht="15.75" hidden="false" customHeight="true" outlineLevel="0" collapsed="false">
      <c r="A36" s="56"/>
      <c r="B36" s="60"/>
      <c r="C36" s="58" t="s">
        <v>322</v>
      </c>
      <c r="D36" s="59" t="s">
        <v>323</v>
      </c>
      <c r="E36" s="59"/>
      <c r="F36" s="59"/>
      <c r="G36" s="58" t="s">
        <v>324</v>
      </c>
    </row>
    <row r="37" customFormat="false" ht="15.75" hidden="false" customHeight="true" outlineLevel="0" collapsed="false">
      <c r="A37" s="56"/>
      <c r="B37" s="64"/>
      <c r="C37" s="65" t="s">
        <v>325</v>
      </c>
      <c r="D37" s="66" t="s">
        <v>326</v>
      </c>
      <c r="E37" s="66"/>
      <c r="F37" s="66"/>
      <c r="G37" s="65" t="s">
        <v>327</v>
      </c>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6" activeCellId="0" sqref="G26"/>
    </sheetView>
  </sheetViews>
  <sheetFormatPr defaultColWidth="12.66796875" defaultRowHeight="15" zeroHeight="false" outlineLevelRow="0" outlineLevelCol="0"/>
  <cols>
    <col collapsed="false" customWidth="true" hidden="false" outlineLevel="0" max="1" min="1" style="0" width="19.33"/>
    <col collapsed="false" customWidth="true" hidden="false" outlineLevel="0" max="3" min="3" style="0" width="20.45"/>
    <col collapsed="false" customWidth="true" hidden="false" outlineLevel="0" max="5" min="5" style="0" width="19.75"/>
    <col collapsed="false" customWidth="true" hidden="false" outlineLevel="0" max="7" min="7" style="0" width="39.51"/>
    <col collapsed="false" customWidth="true" hidden="false" outlineLevel="0" max="8" min="8" style="0" width="20.45"/>
    <col collapsed="false" customWidth="true" hidden="false" outlineLevel="0" max="9" min="9" style="0" width="24.62"/>
    <col collapsed="false" customWidth="true" hidden="false" outlineLevel="0" max="10" min="10" style="0" width="16.55"/>
  </cols>
  <sheetData>
    <row r="1" customFormat="false" ht="15.75" hidden="false" customHeight="true" outlineLevel="0" collapsed="false">
      <c r="A1" s="67" t="s">
        <v>328</v>
      </c>
      <c r="B1" s="67" t="s">
        <v>329</v>
      </c>
      <c r="C1" s="67" t="s">
        <v>330</v>
      </c>
      <c r="D1" s="67" t="s">
        <v>331</v>
      </c>
      <c r="E1" s="67" t="s">
        <v>332</v>
      </c>
      <c r="F1" s="67" t="s">
        <v>333</v>
      </c>
      <c r="G1" s="67" t="s">
        <v>334</v>
      </c>
      <c r="H1" s="67" t="s">
        <v>335</v>
      </c>
      <c r="I1" s="67" t="s">
        <v>336</v>
      </c>
      <c r="J1" s="67" t="s">
        <v>337</v>
      </c>
    </row>
    <row r="2" customFormat="false" ht="15.75" hidden="false" customHeight="true" outlineLevel="0" collapsed="false">
      <c r="A2" s="67" t="n">
        <v>12</v>
      </c>
      <c r="B2" s="67" t="n">
        <v>2</v>
      </c>
      <c r="C2" s="67" t="n">
        <f aca="false">1.2/50*6</f>
        <v>0.144</v>
      </c>
      <c r="D2" s="67" t="n">
        <f aca="false">33.3/1000*6</f>
        <v>0.1998</v>
      </c>
      <c r="E2" s="67" t="n">
        <f aca="false">1.01*5</f>
        <v>5.05</v>
      </c>
      <c r="F2" s="67" t="n">
        <f aca="false">0.1*24</f>
        <v>2.4</v>
      </c>
      <c r="G2" s="67" t="n">
        <f aca="false">8/100*54</f>
        <v>4.32</v>
      </c>
      <c r="H2" s="67" t="n">
        <f aca="false">0.008*10</f>
        <v>0.08</v>
      </c>
      <c r="I2" s="67" t="n">
        <f aca="false">C2+D2+E2+F2+G2+H2</f>
        <v>12.1938</v>
      </c>
      <c r="J2" s="67" t="n">
        <f aca="false">I2*60/1000</f>
        <v>0.731628</v>
      </c>
    </row>
    <row r="3" customFormat="false" ht="15.75" hidden="false" customHeight="true" outlineLevel="0" collapsed="false">
      <c r="A3" s="67" t="n">
        <v>18</v>
      </c>
      <c r="B3" s="67" t="n">
        <v>2.8</v>
      </c>
      <c r="C3" s="67" t="n">
        <f aca="false">2.9/50*6</f>
        <v>0.348</v>
      </c>
      <c r="D3" s="67" t="n">
        <f aca="false">64.4/1000*6</f>
        <v>0.3864</v>
      </c>
      <c r="E3" s="67" t="n">
        <f aca="false">1.33*5</f>
        <v>6.65</v>
      </c>
      <c r="F3" s="67" t="n">
        <f aca="false">19*0.19+5*0.14</f>
        <v>4.31</v>
      </c>
      <c r="G3" s="67" t="n">
        <f aca="false">8/100*78</f>
        <v>6.24</v>
      </c>
      <c r="H3" s="67" t="n">
        <f aca="false">0.008*21</f>
        <v>0.168</v>
      </c>
      <c r="I3" s="67" t="n">
        <f aca="false">C3+D3+E3+F3+G3+H3</f>
        <v>18.1024</v>
      </c>
      <c r="J3" s="67" t="n">
        <f aca="false">I3*60/1000</f>
        <v>1.086144</v>
      </c>
    </row>
    <row r="4" customFormat="false" ht="15.75" hidden="false" customHeight="true" outlineLevel="0" collapsed="false">
      <c r="A4" s="67" t="n">
        <v>24</v>
      </c>
      <c r="B4" s="67" t="n">
        <v>3.36</v>
      </c>
      <c r="C4" s="67" t="n">
        <f aca="false">2.9/50*6</f>
        <v>0.348</v>
      </c>
      <c r="D4" s="67" t="n">
        <f aca="false">64.4/1000*6</f>
        <v>0.3864</v>
      </c>
      <c r="E4" s="67" t="n">
        <f aca="false">5*1.81</f>
        <v>9.05</v>
      </c>
      <c r="F4" s="67" t="n">
        <f aca="false">24*0.19</f>
        <v>4.56</v>
      </c>
      <c r="G4" s="67" t="n">
        <f aca="false">8/100*108</f>
        <v>8.64</v>
      </c>
      <c r="H4" s="67" t="n">
        <f aca="false">0.008*31</f>
        <v>0.248</v>
      </c>
      <c r="I4" s="67" t="n">
        <f aca="false">C4+D4+E4+F4+G4+H4</f>
        <v>23.2324</v>
      </c>
      <c r="J4" s="67" t="n">
        <f aca="false">I4*60/1000</f>
        <v>1.393944</v>
      </c>
    </row>
    <row r="5" customFormat="false" ht="15.75" hidden="false" customHeight="true" outlineLevel="0" collapsed="false"/>
    <row r="6" customFormat="false" ht="15.75" hidden="false" customHeight="true" outlineLevel="0" collapsed="false">
      <c r="A6" s="67"/>
      <c r="B6" s="67"/>
    </row>
    <row r="7" customFormat="false" ht="15.75" hidden="false" customHeight="true" outlineLevel="0" collapsed="false"/>
    <row r="8" customFormat="false" ht="15.75" hidden="false" customHeight="true" outlineLevel="0" collapsed="false">
      <c r="A8" s="67"/>
      <c r="B8" s="67"/>
      <c r="C8" s="67"/>
    </row>
    <row r="9" customFormat="false" ht="15.75" hidden="false" customHeight="true" outlineLevel="0" collapsed="false">
      <c r="A9" s="67"/>
      <c r="B9" s="67"/>
      <c r="C9" s="67"/>
    </row>
    <row r="10" customFormat="false" ht="15.75" hidden="false" customHeight="true" outlineLevel="0" collapsed="false">
      <c r="A10" s="67"/>
      <c r="B10" s="67"/>
      <c r="C10" s="67"/>
    </row>
    <row r="11" customFormat="false" ht="15.75" hidden="false" customHeight="true" outlineLevel="0" collapsed="false">
      <c r="A11" s="67"/>
      <c r="B11" s="67"/>
      <c r="C11" s="67"/>
    </row>
    <row r="12" customFormat="false" ht="15.75" hidden="false" customHeight="true" outlineLevel="0" collapsed="false">
      <c r="A12" s="67"/>
      <c r="B12" s="67"/>
      <c r="C12" s="67"/>
    </row>
    <row r="13" customFormat="false" ht="15.75" hidden="false" customHeight="true" outlineLevel="0" collapsed="false"/>
    <row r="14" customFormat="false" ht="15.75" hidden="false" customHeight="true" outlineLevel="0" collapsed="false"/>
    <row r="15" customFormat="false" ht="15.75" hidden="false" customHeight="true" outlineLevel="0" collapsed="false">
      <c r="B15" s="67"/>
      <c r="C15" s="67"/>
    </row>
    <row r="16" customFormat="false" ht="15.75" hidden="false" customHeight="true" outlineLevel="0" collapsed="false">
      <c r="A16" s="67"/>
    </row>
    <row r="17" customFormat="false" ht="15.75" hidden="false" customHeight="true" outlineLevel="0" collapsed="false">
      <c r="A17" s="67"/>
    </row>
    <row r="18" customFormat="false" ht="15.75" hidden="false" customHeight="true" outlineLevel="0" collapsed="false">
      <c r="A18" s="67"/>
    </row>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8" activeCellId="0" sqref="F28"/>
    </sheetView>
  </sheetViews>
  <sheetFormatPr defaultColWidth="12.66796875" defaultRowHeight="15" zeroHeight="false" outlineLevelRow="0" outlineLevelCol="0"/>
  <cols>
    <col collapsed="false" customWidth="true" hidden="false" outlineLevel="0" max="3" min="3" style="0" width="21.67"/>
    <col collapsed="false" customWidth="true" hidden="false" outlineLevel="0" max="4" min="4" style="0" width="22.33"/>
    <col collapsed="false" customWidth="true" hidden="false" outlineLevel="0" max="5" min="5" style="0" width="22.22"/>
  </cols>
  <sheetData>
    <row r="1" customFormat="false" ht="15.75" hidden="false" customHeight="true" outlineLevel="0" collapsed="false">
      <c r="A1" s="68" t="s">
        <v>338</v>
      </c>
      <c r="B1" s="68" t="s">
        <v>339</v>
      </c>
      <c r="C1" s="68" t="s">
        <v>340</v>
      </c>
      <c r="D1" s="68" t="s">
        <v>341</v>
      </c>
      <c r="E1" s="68" t="s">
        <v>342</v>
      </c>
      <c r="F1" s="68" t="s">
        <v>343</v>
      </c>
      <c r="H1" s="67" t="s">
        <v>344</v>
      </c>
      <c r="I1" s="67" t="n">
        <v>7850</v>
      </c>
    </row>
    <row r="2" customFormat="false" ht="15.75" hidden="false" customHeight="true" outlineLevel="0" collapsed="false">
      <c r="A2" s="69"/>
      <c r="B2" s="70"/>
      <c r="C2" s="70"/>
      <c r="D2" s="70"/>
      <c r="E2" s="70"/>
      <c r="F2" s="70"/>
    </row>
    <row r="3" customFormat="false" ht="15.75" hidden="false" customHeight="true" outlineLevel="0" collapsed="false">
      <c r="A3" s="69" t="s">
        <v>345</v>
      </c>
      <c r="B3" s="69" t="s">
        <v>346</v>
      </c>
      <c r="C3" s="69" t="s">
        <v>346</v>
      </c>
      <c r="D3" s="69" t="s">
        <v>346</v>
      </c>
      <c r="E3" s="69" t="s">
        <v>347</v>
      </c>
      <c r="F3" s="69" t="s">
        <v>347</v>
      </c>
    </row>
    <row r="4" customFormat="false" ht="15.75" hidden="false" customHeight="true" outlineLevel="0" collapsed="false">
      <c r="A4" s="69" t="s">
        <v>348</v>
      </c>
      <c r="B4" s="69" t="n">
        <f aca="false">PI()*0.012^2/4*1.5*$I$1</f>
        <v>1.33172112585671</v>
      </c>
      <c r="C4" s="69" t="n">
        <f aca="false">PI()*0.012^2/4*1.5*$I$1</f>
        <v>1.33172112585671</v>
      </c>
      <c r="D4" s="69" t="n">
        <f aca="false">PI()*0.012^2/4*1.5*$I$1</f>
        <v>1.33172112585671</v>
      </c>
      <c r="E4" s="69" t="n">
        <f aca="false">PI()*0.014^2/4*2*$I$1</f>
        <v>2.41682722840663</v>
      </c>
      <c r="F4" s="69" t="n">
        <f aca="false">PI()*0.014^2/4*2*$I$1</f>
        <v>2.41682722840663</v>
      </c>
    </row>
    <row r="5" customFormat="false" ht="15.75" hidden="false" customHeight="true" outlineLevel="0" collapsed="false">
      <c r="A5" s="69" t="s">
        <v>349</v>
      </c>
      <c r="B5" s="70" t="n">
        <v>48</v>
      </c>
      <c r="C5" s="70" t="n">
        <v>48</v>
      </c>
      <c r="D5" s="70" t="n">
        <v>48</v>
      </c>
      <c r="E5" s="70" t="n">
        <v>60</v>
      </c>
      <c r="F5" s="70" t="n">
        <v>60</v>
      </c>
    </row>
    <row r="6" customFormat="false" ht="15.75" hidden="false" customHeight="true" outlineLevel="0" collapsed="false">
      <c r="A6" s="69" t="s">
        <v>348</v>
      </c>
      <c r="B6" s="70" t="n">
        <f aca="false">0.0173*B5</f>
        <v>0.8304</v>
      </c>
      <c r="C6" s="70" t="n">
        <f aca="false">0.0173*C5</f>
        <v>0.8304</v>
      </c>
      <c r="D6" s="70" t="n">
        <f aca="false">0.0173*D5</f>
        <v>0.8304</v>
      </c>
      <c r="E6" s="70" t="n">
        <f aca="false">0.025*E5</f>
        <v>1.5</v>
      </c>
      <c r="F6" s="70" t="n">
        <f aca="false">0.025*F5</f>
        <v>1.5</v>
      </c>
    </row>
    <row r="7" customFormat="false" ht="15.75" hidden="false" customHeight="true" outlineLevel="0" collapsed="false">
      <c r="A7" s="69" t="s">
        <v>350</v>
      </c>
      <c r="B7" s="70" t="n">
        <v>12</v>
      </c>
      <c r="C7" s="70" t="n">
        <v>12</v>
      </c>
      <c r="D7" s="70" t="n">
        <v>12</v>
      </c>
      <c r="E7" s="70" t="n">
        <v>23</v>
      </c>
      <c r="F7" s="70" t="n">
        <v>23</v>
      </c>
    </row>
    <row r="8" customFormat="false" ht="15.75" hidden="false" customHeight="true" outlineLevel="0" collapsed="false">
      <c r="A8" s="69" t="s">
        <v>348</v>
      </c>
      <c r="B8" s="70" t="n">
        <f aca="false">0.01*B7</f>
        <v>0.12</v>
      </c>
      <c r="C8" s="70" t="n">
        <f aca="false">0.01*C7</f>
        <v>0.12</v>
      </c>
      <c r="D8" s="70" t="n">
        <f aca="false">0.01*D7</f>
        <v>0.12</v>
      </c>
      <c r="E8" s="70" t="n">
        <f aca="false">0.01*E7</f>
        <v>0.23</v>
      </c>
      <c r="F8" s="70" t="n">
        <f aca="false">0.01*F7</f>
        <v>0.23</v>
      </c>
    </row>
    <row r="9" customFormat="false" ht="15.75" hidden="false" customHeight="true" outlineLevel="0" collapsed="false">
      <c r="A9" s="69" t="s">
        <v>351</v>
      </c>
      <c r="B9" s="69" t="s">
        <v>352</v>
      </c>
      <c r="C9" s="69" t="s">
        <v>353</v>
      </c>
      <c r="D9" s="69" t="s">
        <v>353</v>
      </c>
      <c r="E9" s="69" t="s">
        <v>354</v>
      </c>
      <c r="F9" s="69" t="s">
        <v>355</v>
      </c>
    </row>
    <row r="10" customFormat="false" ht="15.75" hidden="false" customHeight="true" outlineLevel="0" collapsed="false">
      <c r="A10" s="69" t="s">
        <v>356</v>
      </c>
      <c r="B10" s="70" t="n">
        <v>42</v>
      </c>
      <c r="C10" s="70" t="n">
        <v>54</v>
      </c>
      <c r="D10" s="70" t="n">
        <v>66</v>
      </c>
      <c r="E10" s="70" t="n">
        <v>66</v>
      </c>
      <c r="F10" s="70" t="n">
        <v>78</v>
      </c>
    </row>
    <row r="11" customFormat="false" ht="15.75" hidden="false" customHeight="true" outlineLevel="0" collapsed="false">
      <c r="A11" s="69" t="s">
        <v>348</v>
      </c>
      <c r="B11" s="70" t="n">
        <f aca="false">0.00472*B10</f>
        <v>0.19824</v>
      </c>
      <c r="C11" s="70" t="n">
        <f aca="false">0.00575*C10</f>
        <v>0.3105</v>
      </c>
      <c r="D11" s="70" t="n">
        <f aca="false">0.00575*D10</f>
        <v>0.3795</v>
      </c>
      <c r="E11" s="70" t="n">
        <f aca="false">0.00679*E10</f>
        <v>0.44814</v>
      </c>
      <c r="F11" s="70" t="n">
        <f aca="false">0.00835*F10</f>
        <v>0.6513</v>
      </c>
    </row>
    <row r="12" customFormat="false" ht="15.75" hidden="false" customHeight="true" outlineLevel="0" collapsed="false">
      <c r="A12" s="71" t="s">
        <v>357</v>
      </c>
      <c r="B12" s="72" t="n">
        <f aca="false">SUM(B4,B6,B8,B11)</f>
        <v>2.48036112585671</v>
      </c>
      <c r="C12" s="72" t="n">
        <f aca="false">SUM(C4,C6,C8,C11)</f>
        <v>2.59262112585671</v>
      </c>
      <c r="D12" s="72" t="n">
        <f aca="false">SUM(D4,D6,D8,D11)</f>
        <v>2.66162112585671</v>
      </c>
      <c r="E12" s="72" t="n">
        <f aca="false">SUM(E4,E6,E8,E11)</f>
        <v>4.59496722840663</v>
      </c>
      <c r="F12" s="72" t="n">
        <f aca="false">SUM(F4,F6,F8,F11)</f>
        <v>4.79812722840663</v>
      </c>
    </row>
    <row r="13" customFormat="false" ht="15.75" hidden="false" customHeight="true" outlineLevel="0" collapsed="false">
      <c r="A13" s="69"/>
      <c r="B13" s="69"/>
      <c r="C13" s="70"/>
      <c r="D13" s="69"/>
      <c r="E13" s="69"/>
      <c r="F13" s="69"/>
    </row>
    <row r="14" customFormat="false" ht="15.75" hidden="false" customHeight="true" outlineLevel="0" collapsed="false">
      <c r="A14" s="69" t="s">
        <v>358</v>
      </c>
      <c r="B14" s="69" t="s">
        <v>359</v>
      </c>
      <c r="C14" s="69" t="s">
        <v>359</v>
      </c>
      <c r="D14" s="69" t="s">
        <v>359</v>
      </c>
      <c r="E14" s="69" t="s">
        <v>360</v>
      </c>
      <c r="F14" s="69" t="s">
        <v>360</v>
      </c>
    </row>
    <row r="15" customFormat="false" ht="15.75" hidden="false" customHeight="true" outlineLevel="0" collapsed="false">
      <c r="A15" s="69" t="s">
        <v>348</v>
      </c>
      <c r="B15" s="69" t="n">
        <f aca="false">PI()*0.012^2/4*0.04*4*$I$1</f>
        <v>0.142050253424716</v>
      </c>
      <c r="C15" s="69" t="n">
        <f aca="false">PI()*0.012^2/4*0.04*4*$I$1</f>
        <v>0.142050253424716</v>
      </c>
      <c r="D15" s="69" t="n">
        <f aca="false">PI()*0.012^2/4*0.04*4*$I$1</f>
        <v>0.142050253424716</v>
      </c>
      <c r="E15" s="69" t="n">
        <f aca="false">PI()*0.012^2/4*0.04*4*$I$1</f>
        <v>0.142050253424716</v>
      </c>
      <c r="F15" s="69" t="n">
        <f aca="false">PI()*0.012^2/4*0.04*4*$I$1</f>
        <v>0.142050253424716</v>
      </c>
    </row>
    <row r="16" customFormat="false" ht="15.75" hidden="false" customHeight="true" outlineLevel="0" collapsed="false">
      <c r="A16" s="69" t="s">
        <v>361</v>
      </c>
      <c r="B16" s="69" t="s">
        <v>362</v>
      </c>
      <c r="C16" s="69" t="s">
        <v>362</v>
      </c>
      <c r="D16" s="69" t="s">
        <v>362</v>
      </c>
      <c r="E16" s="69" t="s">
        <v>362</v>
      </c>
      <c r="F16" s="69" t="s">
        <v>362</v>
      </c>
    </row>
    <row r="17" customFormat="false" ht="15.75" hidden="false" customHeight="true" outlineLevel="0" collapsed="false">
      <c r="A17" s="69" t="s">
        <v>348</v>
      </c>
      <c r="B17" s="69" t="n">
        <f aca="false">PI()*0.006^2/4*0.03*4*$I$1</f>
        <v>0.0266344225171343</v>
      </c>
      <c r="C17" s="69" t="n">
        <f aca="false">PI()*0.006^2/4*0.03*4*$I$1</f>
        <v>0.0266344225171343</v>
      </c>
      <c r="D17" s="69" t="n">
        <f aca="false">PI()*0.006^2/4*0.03*4*$I$1</f>
        <v>0.0266344225171343</v>
      </c>
      <c r="E17" s="69" t="n">
        <f aca="false">PI()*0.006^2/4*0.03*4*$I$1</f>
        <v>0.0266344225171343</v>
      </c>
      <c r="F17" s="69" t="n">
        <f aca="false">PI()*0.006^2/4*0.03*4*$I$1</f>
        <v>0.0266344225171343</v>
      </c>
    </row>
    <row r="18" customFormat="false" ht="15.75" hidden="false" customHeight="true" outlineLevel="0" collapsed="false">
      <c r="A18" s="69" t="s">
        <v>363</v>
      </c>
      <c r="B18" s="69" t="s">
        <v>364</v>
      </c>
      <c r="C18" s="69" t="s">
        <v>364</v>
      </c>
      <c r="D18" s="69" t="s">
        <v>364</v>
      </c>
      <c r="E18" s="69" t="s">
        <v>364</v>
      </c>
      <c r="F18" s="69" t="s">
        <v>364</v>
      </c>
    </row>
    <row r="19" customFormat="false" ht="15.75" hidden="false" customHeight="true" outlineLevel="0" collapsed="false">
      <c r="A19" s="69" t="s">
        <v>348</v>
      </c>
      <c r="B19" s="69" t="n">
        <f aca="false">0.00575*100</f>
        <v>0.575</v>
      </c>
      <c r="C19" s="69" t="n">
        <f aca="false">0.00575*100</f>
        <v>0.575</v>
      </c>
      <c r="D19" s="69" t="n">
        <f aca="false">0.00575*100</f>
        <v>0.575</v>
      </c>
      <c r="E19" s="69" t="n">
        <f aca="false">0.00575*100</f>
        <v>0.575</v>
      </c>
      <c r="F19" s="69" t="n">
        <f aca="false">0.00575*100</f>
        <v>0.575</v>
      </c>
    </row>
    <row r="20" customFormat="false" ht="15.75" hidden="false" customHeight="true" outlineLevel="0" collapsed="false">
      <c r="A20" s="69" t="s">
        <v>365</v>
      </c>
      <c r="B20" s="69" t="s">
        <v>364</v>
      </c>
      <c r="C20" s="69" t="s">
        <v>364</v>
      </c>
      <c r="D20" s="69" t="s">
        <v>364</v>
      </c>
      <c r="E20" s="69" t="s">
        <v>364</v>
      </c>
      <c r="F20" s="69" t="s">
        <v>364</v>
      </c>
    </row>
    <row r="21" customFormat="false" ht="15.75" hidden="false" customHeight="true" outlineLevel="0" collapsed="false">
      <c r="A21" s="69" t="s">
        <v>348</v>
      </c>
      <c r="B21" s="69" t="n">
        <f aca="false">0.00282*100</f>
        <v>0.282</v>
      </c>
      <c r="C21" s="69" t="n">
        <f aca="false">0.00282*100</f>
        <v>0.282</v>
      </c>
      <c r="D21" s="69" t="n">
        <f aca="false">0.00282*100</f>
        <v>0.282</v>
      </c>
      <c r="E21" s="69" t="n">
        <f aca="false">0.00282*100</f>
        <v>0.282</v>
      </c>
      <c r="F21" s="69" t="n">
        <f aca="false">0.00282*100</f>
        <v>0.282</v>
      </c>
    </row>
    <row r="22" customFormat="false" ht="15.75" hidden="false" customHeight="true" outlineLevel="0" collapsed="false">
      <c r="A22" s="69" t="s">
        <v>366</v>
      </c>
      <c r="B22" s="73" t="s">
        <v>367</v>
      </c>
      <c r="C22" s="73"/>
      <c r="D22" s="73"/>
      <c r="E22" s="73"/>
      <c r="F22" s="73"/>
    </row>
    <row r="23" customFormat="false" ht="15.75" hidden="false" customHeight="true" outlineLevel="0" collapsed="false">
      <c r="A23" s="69" t="s">
        <v>348</v>
      </c>
      <c r="B23" s="69" t="n">
        <f aca="false">PI()*(0.012^2/4+0.01^2/4)*$I$1</f>
        <v>1.50435164217147</v>
      </c>
      <c r="C23" s="69" t="n">
        <f aca="false">PI()*(0.012^2/4+0.01^2/4)*$I$1</f>
        <v>1.50435164217147</v>
      </c>
      <c r="D23" s="69" t="n">
        <f aca="false">PI()*(0.012^2/4+0.01^2/4)*$I$1</f>
        <v>1.50435164217147</v>
      </c>
      <c r="E23" s="69" t="n">
        <f aca="false">PI()*(0.012^2/4+0.01^2/4)*$I$1</f>
        <v>1.50435164217147</v>
      </c>
      <c r="F23" s="69" t="n">
        <f aca="false">PI()*(0.012^2/4+0.01^2/4)*$I$1</f>
        <v>1.50435164217147</v>
      </c>
    </row>
    <row r="24" customFormat="false" ht="15.75" hidden="false" customHeight="true" outlineLevel="0" collapsed="false">
      <c r="A24" s="69" t="s">
        <v>368</v>
      </c>
      <c r="B24" s="69" t="s">
        <v>369</v>
      </c>
      <c r="C24" s="69" t="s">
        <v>369</v>
      </c>
      <c r="D24" s="69" t="s">
        <v>369</v>
      </c>
      <c r="E24" s="69" t="s">
        <v>370</v>
      </c>
      <c r="F24" s="69" t="s">
        <v>370</v>
      </c>
    </row>
    <row r="25" customFormat="false" ht="15.75" hidden="false" customHeight="true" outlineLevel="0" collapsed="false">
      <c r="A25" s="69" t="s">
        <v>348</v>
      </c>
      <c r="B25" s="69" t="n">
        <f aca="false">0.0116*10</f>
        <v>0.116</v>
      </c>
      <c r="C25" s="69" t="n">
        <f aca="false">0.0116*10</f>
        <v>0.116</v>
      </c>
      <c r="D25" s="69" t="n">
        <f aca="false">0.0116*10</f>
        <v>0.116</v>
      </c>
      <c r="E25" s="69" t="n">
        <f aca="false">0.0116*10+3*0.0173</f>
        <v>0.1679</v>
      </c>
      <c r="F25" s="69" t="n">
        <f aca="false">0.0116*10+3*0.0173</f>
        <v>0.1679</v>
      </c>
    </row>
    <row r="26" customFormat="false" ht="15.75" hidden="false" customHeight="true" outlineLevel="0" collapsed="false">
      <c r="A26" s="69" t="s">
        <v>371</v>
      </c>
      <c r="B26" s="69" t="s">
        <v>372</v>
      </c>
      <c r="C26" s="69"/>
      <c r="D26" s="69"/>
      <c r="E26" s="69"/>
      <c r="F26" s="69"/>
    </row>
    <row r="27" customFormat="false" ht="15.75" hidden="false" customHeight="true" outlineLevel="0" collapsed="false">
      <c r="A27" s="69" t="s">
        <v>348</v>
      </c>
      <c r="B27" s="74" t="n">
        <f aca="false">2/100</f>
        <v>0.02</v>
      </c>
      <c r="C27" s="74" t="n">
        <f aca="false">2/100</f>
        <v>0.02</v>
      </c>
      <c r="D27" s="74" t="n">
        <f aca="false">2/100</f>
        <v>0.02</v>
      </c>
      <c r="E27" s="74" t="n">
        <f aca="false">2/100</f>
        <v>0.02</v>
      </c>
      <c r="F27" s="74" t="n">
        <f aca="false">2/100</f>
        <v>0.02</v>
      </c>
    </row>
    <row r="28" customFormat="false" ht="15.75" hidden="false" customHeight="true" outlineLevel="0" collapsed="false">
      <c r="A28" s="75" t="s">
        <v>373</v>
      </c>
      <c r="B28" s="76" t="n">
        <f aca="false">SUM(B15,B17,B19,B21,B23,B25,B27)</f>
        <v>2.66603631811332</v>
      </c>
      <c r="C28" s="76" t="n">
        <f aca="false">SUM(C15,C17,C19,C21,C23,C25,C27)</f>
        <v>2.66603631811332</v>
      </c>
      <c r="D28" s="76" t="n">
        <f aca="false">SUM(D15,D17,D19,D21,D23,D25,D27)</f>
        <v>2.66603631811332</v>
      </c>
      <c r="E28" s="76" t="n">
        <f aca="false">SUM(E15,E17,E19,E21,E23,E25,E27)</f>
        <v>2.71793631811332</v>
      </c>
      <c r="F28" s="76" t="n">
        <f aca="false">SUM(F15,F17,F19,F21,F23,F25,F27)</f>
        <v>2.71793631811332</v>
      </c>
    </row>
    <row r="29" customFormat="false" ht="15.75" hidden="false" customHeight="true" outlineLevel="0" collapsed="false">
      <c r="B29" s="77"/>
    </row>
    <row r="30" customFormat="false" ht="15.75" hidden="false" customHeight="true" outlineLevel="0" collapsed="false">
      <c r="A30" s="78"/>
      <c r="B30" s="79" t="s">
        <v>357</v>
      </c>
      <c r="C30" s="80" t="s">
        <v>373</v>
      </c>
    </row>
    <row r="31" customFormat="false" ht="15.75" hidden="false" customHeight="true" outlineLevel="0" collapsed="false">
      <c r="A31" s="81" t="s">
        <v>339</v>
      </c>
      <c r="B31" s="82" t="n">
        <v>2.48036112585671</v>
      </c>
      <c r="C31" s="83" t="n">
        <v>2.66603631811332</v>
      </c>
    </row>
    <row r="32" customFormat="false" ht="15.75" hidden="false" customHeight="true" outlineLevel="0" collapsed="false">
      <c r="A32" s="81" t="s">
        <v>340</v>
      </c>
      <c r="B32" s="84" t="n">
        <v>2.59262112585671</v>
      </c>
      <c r="C32" s="84" t="n">
        <v>2.66603631811332</v>
      </c>
    </row>
    <row r="33" customFormat="false" ht="15.75" hidden="false" customHeight="true" outlineLevel="0" collapsed="false">
      <c r="A33" s="81" t="s">
        <v>341</v>
      </c>
      <c r="B33" s="84" t="n">
        <v>2.66162112585671</v>
      </c>
      <c r="C33" s="84" t="n">
        <v>2.66603631811332</v>
      </c>
    </row>
    <row r="34" customFormat="false" ht="15.75" hidden="false" customHeight="true" outlineLevel="0" collapsed="false">
      <c r="A34" s="81" t="s">
        <v>342</v>
      </c>
      <c r="B34" s="84" t="n">
        <v>4.59496722840663</v>
      </c>
      <c r="C34" s="84" t="n">
        <v>2.71793631811332</v>
      </c>
    </row>
    <row r="35" customFormat="false" ht="15.75" hidden="false" customHeight="true" outlineLevel="0" collapsed="false">
      <c r="A35" s="81" t="s">
        <v>343</v>
      </c>
      <c r="B35" s="85" t="n">
        <v>4.79812722840663</v>
      </c>
      <c r="C35" s="85" t="n">
        <v>2.71793631811332</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sheetData>
  <mergeCells count="1">
    <mergeCell ref="B22:F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2025-11-24T11:20:27Z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