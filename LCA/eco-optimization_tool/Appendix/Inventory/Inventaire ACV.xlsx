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binary" PartName="/xl/commentsmeta2"/>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Wing generator" sheetId="1" r:id="rId4"/>
    <sheet state="visible" name="Structure" sheetId="2" r:id="rId5"/>
    <sheet state="visible" name="Electronics" sheetId="3" r:id="rId6"/>
    <sheet state="visible" name="Hardware structure" sheetId="4" r:id="rId7"/>
    <sheet state="visible" name="Hardware gene" sheetId="5" r:id="rId8"/>
  </sheets>
  <definedNames/>
  <calcPr/>
  <extLst>
    <ext uri="GoogleSheetsCustomDataVersion2">
      <go:sheetsCustomData xmlns:go="http://customooxmlschemas.google.com/" r:id="rId9" roundtripDataChecksum="ciqt4JKNnh4DbcccZk2dFetehnxHTEBI0YTY15739QU="/>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1">
      <text>
        <t xml:space="preserve">======
ID#AAABpywjpOQ
    (2025-08-25 15:22:25)
pieces partout car coils c'est pour des plaques(faux ami)
	-La Raphinerie</t>
      </text>
    </comment>
  </commentList>
  <extLst>
    <ext uri="GoogleSheetsCustomDataVersion2">
      <go:sheetsCustomData xmlns:go="http://customooxmlschemas.google.com/" r:id="rId1" roundtripDataSignature="AMtx7mjJrRcpDD1YUc0Wah90ayIYn19iUg=="/>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D1">
      <text>
        <t xml:space="preserve">======
ID#AAABpywjpOw
    (2025-08-25 15:22:25)
https://www.boltport.com/weights/din-934/
	-La Raphinerie</t>
      </text>
    </comment>
    <comment authorId="0" ref="H1">
      <text>
        <t xml:space="preserve">======
ID#AAABpywjpOI
    (2025-08-25 15:22:25)
https://www.dispano.fr/p/outillage-quincaillerie/cosse-coeur-standard-pour-cable-diametre-6mm-en-acier-zingue-blanc-ccl106-A1474858
	-La Raphinerie</t>
      </text>
    </comment>
    <comment authorId="0" ref="J1">
      <text>
        <t xml:space="preserve">======
ID#AAABpywjpOE
    (2025-08-25 15:22:25)
Ajouter ref
	-La Raphinerie
90m²/t : https://www.researchgate.net/publication/278314426_Handbook_of_Hot-Dip_Galvanization
60 m²/t : https://ecoquery.ecoinvent.org/3.11/cutoff/dataset/7951/documentation
	-La Raphinerie</t>
      </text>
    </comment>
    <comment authorId="0" ref="C1">
      <text>
        <t xml:space="preserve">======
ID#AAABpywjpN0
    (2025-08-25 15:22:25)
https://www.chausson.fr/quincaillerie/cheville-frapper-long-xtrem-spit-avec-vis-tete-fraisee-zinguee-10x160mm-boite-50-p-47707-1
	-La Raphinerie</t>
      </text>
    </comment>
    <comment authorId="0" ref="F1">
      <text>
        <t xml:space="preserve">======
ID#AAABpywjpNo
    (2025-08-25 15:22:25)
https://www.prolev.fr/dynamic/pdf/fiches/manille_lyre_haute_resistance_hr_fiche_technique_prolev_3.pdf
	-La Raphinerie</t>
      </text>
    </comment>
    <comment authorId="0" ref="E1">
      <text>
        <t xml:space="preserve">======
ID#AAABpywjpNk
    (2025-08-25 15:22:25)
https://www.simafrance.com/fr/tendeurs/117-tendeur-standard-chape-chape-.html
	-La Raphinerie</t>
      </text>
    </comment>
    <comment authorId="0" ref="G1">
      <text>
        <t xml:space="preserve">======
ID#AAABpytb5Og
    (2025-08-25 15:22:25)
https://www.greenpin.com/sites/default/files/2021-06/DO_FR_CATFR_Catalogue_3.%20Wire%20Rope%20Clips.pdf
	-La Raphinerie</t>
      </text>
    </comment>
  </commentList>
  <extLst>
    <ext uri="GoogleSheetsCustomDataVersion2">
      <go:sheetsCustomData xmlns:go="http://customooxmlschemas.google.com/" r:id="rId1" roundtripDataSignature="AMtx7mj106/WeV/qrD1xeQahVIHAVXuKqQ=="/>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5">
      <text>
        <t xml:space="preserve">======
ID#AAABpywjpOk
    (2025-08-25 15:22:25)
https://www.boltport.com/weights/din-934/
	-La Raphinerie</t>
      </text>
    </comment>
    <comment authorId="0" ref="A9">
      <text>
        <t xml:space="preserve">======
ID#AAABpywjpOU
    (2025-08-25 15:22:25)
https://www.acton.fr/index.php?ent_id=1&amp;cat_id=2&amp;ni1_id=30&amp;ni2_id=47&amp;ni3_id=71&amp;ni4_id=317&amp;csaction=site%2Fentite%2Fcatalogue%2Fdetail_technique_filtrer&amp;ent_id=1&amp;cat_id=2&amp;ni1_id=30&amp;ni2_id=47&amp;ni3_id=71&amp;ni4_id=317&amp;colonne=9&amp;filtre=5X40&amp;%23=breadcrumb
	-La Raphinerie</t>
      </text>
    </comment>
    <comment authorId="0" ref="A20">
      <text>
        <t xml:space="preserve">======
ID#AAABpywjpOM
    (2025-08-25 15:22:25)
https://www.vis-express.fr/vba-vis-bois-agglo-tete-fraisee-tf-torx-filetage-partiel-inox-a2-doc-8231/35025-vba-vis-bois-agglo-inox-a2-tete-fraisee-tf-5x30-filetee-sur-18-torx-t25.html
	-La Raphinerie</t>
      </text>
    </comment>
    <comment authorId="0" ref="A7">
      <text>
        <t xml:space="preserve">======
ID#AAABpywjpOA
    (2025-08-25 15:22:25)
https://www.gbm-france.com/boutique/connectique-de-terre/boulonnerie-inox/rondelles-plates-en-inox/rondelle-plate-m12-en-inox/
	-La Raphinerie</t>
      </text>
    </comment>
    <comment authorId="0" ref="A18">
      <text>
        <t xml:space="preserve">======
ID#AAABpywjpNs
    (2025-08-25 15:22:25)
https://www.chausson.fr/quincaillerie/vis-bois-rocket-tete-fraisee-torx-acier-zingue-filetage-total-5x50mm-p-685107-1
	-La Raphinerie</t>
      </text>
    </comment>
  </commentList>
  <extLst>
    <ext uri="GoogleSheetsCustomDataVersion2">
      <go:sheetsCustomData xmlns:go="http://customooxmlschemas.google.com/" r:id="rId1" roundtripDataSignature="AMtx7mheRzaQheqAxzoFKtfM0hXD5KLimw=="/>
    </ext>
  </extLst>
</comments>
</file>

<file path=xl/sharedStrings.xml><?xml version="1.0" encoding="utf-8"?>
<sst xmlns="http://schemas.openxmlformats.org/spreadsheetml/2006/main" count="586" uniqueCount="375">
  <si>
    <t>Sub-system</t>
  </si>
  <si>
    <t>Element</t>
  </si>
  <si>
    <t>Element in french</t>
  </si>
  <si>
    <t>Part</t>
  </si>
  <si>
    <t>Process (Ecovinvent 3.8)</t>
  </si>
  <si>
    <t>Lifetime/End of life</t>
  </si>
  <si>
    <t>Comments</t>
  </si>
  <si>
    <t>Wind generator</t>
  </si>
  <si>
    <t>Propeller</t>
  </si>
  <si>
    <t>Blades</t>
  </si>
  <si>
    <t>Pales</t>
  </si>
  <si>
    <t>Dry soft wood</t>
  </si>
  <si>
    <t>planing, beam, softwood, u=20%-Europe without Switzerland</t>
  </si>
  <si>
    <t>With proper annual maintenance and protective tape on the leading edge, the rotor blade is a wear part but can last up to 20 years. A common issue is damage caused by the tail vane or leading-edge erosion due to wind, rain, or hail. Repairs are possible using epoxy resin, which provides good durability. At end of life, the blade can be incinerated or disposed of with wood waste.</t>
  </si>
  <si>
    <t>Blades attachment</t>
  </si>
  <si>
    <t>FIxation des pales</t>
  </si>
  <si>
    <t>Plywood</t>
  </si>
  <si>
    <t>plywood production-RER</t>
  </si>
  <si>
    <t>Disc and triangle that hold the blades in place</t>
  </si>
  <si>
    <t>Stator</t>
  </si>
  <si>
    <t>Copper coil</t>
  </si>
  <si>
    <t>Bobine de cuivre</t>
  </si>
  <si>
    <t>Copper, cathod</t>
  </si>
  <si>
    <t>market for copper, cathode-GLO</t>
  </si>
  <si>
    <t>Copper recovery is sometimes accepted by metal recyclers, although not always. At end of life, the resin can be burned or melted, allowing copper to be recovered. Without protective paint, the resin degrades under UV exposure and rain, leaving the fiberglass exposed—resulting in a lifespan of around 5 years. If protected, the coating should be renewed every 5 to 10 years, enabling a service life of 20 years or more. Main failure risks include short circuits, impacts, or excessive friction. In most cases, the stator is not recovered, as it tends to break more easily than other components.</t>
  </si>
  <si>
    <t>Sheet rolling</t>
  </si>
  <si>
    <t>sheet rolling, copper-RER</t>
  </si>
  <si>
    <t>Wire drawing</t>
  </si>
  <si>
    <t>wire drawing, copper-RER</t>
  </si>
  <si>
    <t>Enamelling</t>
  </si>
  <si>
    <t>Revêtement isolant</t>
  </si>
  <si>
    <t>Resin</t>
  </si>
  <si>
    <t>polyester resin production, unsaturated,RER</t>
  </si>
  <si>
    <t>Xylene</t>
  </si>
  <si>
    <t>xylene production,RER</t>
  </si>
  <si>
    <t>Electricity</t>
  </si>
  <si>
    <t>market group for electricity, medium voltage,RER</t>
  </si>
  <si>
    <t>Résine</t>
  </si>
  <si>
    <t>Polyester resin</t>
  </si>
  <si>
    <t>market for polyester resin, unsaturated</t>
  </si>
  <si>
    <t>Talc</t>
  </si>
  <si>
    <t>steatite quarry operation-RoW</t>
  </si>
  <si>
    <t>Glass fibre</t>
  </si>
  <si>
    <t>glass fibre production-RER</t>
  </si>
  <si>
    <t>Rotor</t>
  </si>
  <si>
    <t>Metal disk</t>
  </si>
  <si>
    <t>Disque de métal</t>
  </si>
  <si>
    <t>Steel, low-alloyed</t>
  </si>
  <si>
    <t>permanent magnet production, for electric motor-RER</t>
  </si>
  <si>
    <t>Corrosion issues may arise, particularly for neodymium components due to their alloy composition. To prevent this, proper painting and galvanized discs are used. With adequate surface protection, the part can last up to 20 years. It is generally recoverable due to its mechanical strength and is, along with the stator, one of the most valuable components.</t>
  </si>
  <si>
    <t>Zinc coat</t>
  </si>
  <si>
    <t>zinc coating, pieces-RER</t>
  </si>
  <si>
    <t>Magnet</t>
  </si>
  <si>
    <t>Aimant</t>
  </si>
  <si>
    <t>permanent magnet for motor</t>
  </si>
  <si>
    <t>permanent magnet production, for electric motor-GLO</t>
  </si>
  <si>
    <t>Hub</t>
  </si>
  <si>
    <t>This component is typically recovered from vehicles. If the seal is not watertight, water and particles can infiltrate. When properly sealed, only disassembly and re-greasing are needed, and the part can last up to 20 years.</t>
  </si>
  <si>
    <t>Tail</t>
  </si>
  <si>
    <t>Vane</t>
  </si>
  <si>
    <t>Plaque du safran</t>
  </si>
  <si>
    <t>Steel is not recommended due to vibrations that can damage the mounting plate. Low-quality plywood has a lifespan of around 10 years, while high-quality plywood can last up to 20 years. A condition check every 5 years is advised to determine whether repainting is needed. If properly treated from the start, repainting may only be required once during the turbine’s lifetime. The part is easy to replace. If broken, it can be incinerated or disposed of with wood waste.</t>
  </si>
  <si>
    <t>Boom pipe</t>
  </si>
  <si>
    <t>Tube du safran</t>
  </si>
  <si>
    <t>steel production, converter, unalloyed-RER</t>
  </si>
  <si>
    <t>Occasional welding defects may occur, but otherwise the component has a service life of up to 20 years.</t>
  </si>
  <si>
    <t>Drawing of pipe</t>
  </si>
  <si>
    <t>drawing of pipe, steel-RER</t>
  </si>
  <si>
    <t>Hinge outer</t>
  </si>
  <si>
    <t>Charnière extérieur</t>
  </si>
  <si>
    <t>steel production, low-alloyed, hot rolled-RER</t>
  </si>
  <si>
    <t>Bracket , support and tail stop</t>
  </si>
  <si>
    <t>Equerre, renfort et encocge d'arrêt</t>
  </si>
  <si>
    <t>Nacelle</t>
  </si>
  <si>
    <t>Yaw bearing</t>
  </si>
  <si>
    <t>Pivot d'orientation</t>
  </si>
  <si>
    <t>Can last up to 20 years if properly manufactured. However, wear can occur at the pivot point.</t>
  </si>
  <si>
    <t>Frame</t>
  </si>
  <si>
    <t>Berceau</t>
  </si>
  <si>
    <t>Hardware</t>
  </si>
  <si>
    <t>Stainless steel hardware</t>
  </si>
  <si>
    <t>Boulonnerie inox</t>
  </si>
  <si>
    <t>Stainless steel</t>
  </si>
  <si>
    <t>steel production, chromium steel 18/8, hot rolled-RER</t>
  </si>
  <si>
    <t>No specific issues reported. Has a service life of 20 years but may deform in the event of a fall.</t>
  </si>
  <si>
    <t>Average work</t>
  </si>
  <si>
    <t>metal working, average for chromium steel product manufacturing-RER</t>
  </si>
  <si>
    <t>Zinc coated hardware</t>
  </si>
  <si>
    <t>Boulonnerie acier zingué</t>
  </si>
  <si>
    <t>20 years service life</t>
  </si>
  <si>
    <t>metal working, average for steel product manufacturing-RER</t>
  </si>
  <si>
    <t>Other elements</t>
  </si>
  <si>
    <t>Moulds</t>
  </si>
  <si>
    <t>Moule</t>
  </si>
  <si>
    <t>One mold can be used to produce at least five wind turbines. If insufficiently greased, wood may be torn during demolding.</t>
  </si>
  <si>
    <t>Acetone</t>
  </si>
  <si>
    <t>Coil winder</t>
  </si>
  <si>
    <t>Enrouleur de bobine</t>
  </si>
  <si>
    <t xml:space="preserve">10 years of service life </t>
  </si>
  <si>
    <t>System</t>
  </si>
  <si>
    <t>Lifetime / End of life</t>
  </si>
  <si>
    <t>Size</t>
  </si>
  <si>
    <t>Attribute</t>
  </si>
  <si>
    <t>Formula</t>
  </si>
  <si>
    <t>Value</t>
  </si>
  <si>
    <t>Unit</t>
  </si>
  <si>
    <t>Structure</t>
  </si>
  <si>
    <t>Foundation</t>
  </si>
  <si>
    <t>Concrete</t>
  </si>
  <si>
    <t>Béton</t>
  </si>
  <si>
    <t>Foundation for the mast and the guy wires. The quantity of concrete depended on the height of the mast and the diameter of the wind turbine.</t>
  </si>
  <si>
    <t>Technically, the foundation can be removed. The concrete block can be crushed, and the reinforcing bars recovered. However, in most cases, it is left in the ground. It is also possible to remove only the upper part and leave the rest buried. The foundation can easily last over 100 years and may be reused if the wind turbine is replaced.</t>
  </si>
  <si>
    <t>kg</t>
  </si>
  <si>
    <t>concrete block production-RoW</t>
  </si>
  <si>
    <t>Concrete reinforcing bar HA10</t>
  </si>
  <si>
    <t>Fer à béton HA10</t>
  </si>
  <si>
    <t>Reinforcing steel</t>
  </si>
  <si>
    <t>Reinforcing bar use to make reinforced concrete. The linear mass come from the european standarts</t>
  </si>
  <si>
    <t>L = f(h) D = 10mm</t>
  </si>
  <si>
    <t>Linerar mass : 0,617 kg/m</t>
  </si>
  <si>
    <t>L * linear mass</t>
  </si>
  <si>
    <t>f(h)</t>
  </si>
  <si>
    <t>reinforcing steel production</t>
  </si>
  <si>
    <t>Anchor</t>
  </si>
  <si>
    <t>Ancrage</t>
  </si>
  <si>
    <t>Reinforcing bar galvanized use to make the anchor for the guy wires. The linear mass come from the european standarts</t>
  </si>
  <si>
    <t>L = 8,5m D = 16mm</t>
  </si>
  <si>
    <t>Linerar mass : 1,578 kg/m</t>
  </si>
  <si>
    <t>pi*8,5*0,016</t>
  </si>
  <si>
    <t>m²</t>
  </si>
  <si>
    <t>Mast of height h</t>
  </si>
  <si>
    <t>Mast pipe</t>
  </si>
  <si>
    <t>Tube du mât</t>
  </si>
  <si>
    <t>Steel, unalloyed</t>
  </si>
  <si>
    <t xml:space="preserve">Steel pipes use to build the mast. Sevral diameters are possible, depending of the height of the mast. </t>
  </si>
  <si>
    <t>Sometimes galvanized. Has a very long service life and is rarely replaced. Reuse is possible; otherwise, it can be sent to a metal recycler.</t>
  </si>
  <si>
    <t>D1 = 88,9 mm
D2 = 114,3 mm
e = 3,2 mm
L1 = f(h)
L2 = f(h</t>
  </si>
  <si>
    <t>rho = 7850 kg/m³</t>
  </si>
  <si>
    <t xml:space="preserve">rho*pi*e*((D1-e)*L1 + (D2-e)*L2)
</t>
  </si>
  <si>
    <t>//</t>
  </si>
  <si>
    <t>Yaw pipe</t>
  </si>
  <si>
    <t>Flèche de manoeuvre</t>
  </si>
  <si>
    <t>The yaw pipe helps raising the tower when it is lowered. Its diameter depends on the size of the mast and its length is half that of the mast</t>
  </si>
  <si>
    <t>e = 3,2 or 2,9 mm
D = 88,9 or 60,3 mm</t>
  </si>
  <si>
    <t>rho*pi*h/2*(D-e)*e</t>
  </si>
  <si>
    <t>Mast pivot tube</t>
  </si>
  <si>
    <t>Tube pivot du mât</t>
  </si>
  <si>
    <t>The tube that joins the mast to the wind turbine. Its diameter and it legnt depends on the height of the mast</t>
  </si>
  <si>
    <t>e = 5mm
D = 60,3 or 76 mm
L = 395 or 480 mm</t>
  </si>
  <si>
    <t>rho*pi*L*(D-e)*e</t>
  </si>
  <si>
    <t>Steel swivel pin</t>
  </si>
  <si>
    <t>Axe de pivot</t>
  </si>
  <si>
    <t>Mast pivot axis. A constant average value,M18, has been taken for the size of the threaded rod.</t>
  </si>
  <si>
    <t>M18*1000 mm
L=1 m D=0,018m</t>
  </si>
  <si>
    <t>rho*pi*D²*L/4</t>
  </si>
  <si>
    <t>pi*D*L</t>
  </si>
  <si>
    <t>zinc coating, coils-RER</t>
  </si>
  <si>
    <t>Gusset</t>
  </si>
  <si>
    <t>Gousset</t>
  </si>
  <si>
    <t>Flat iron</t>
  </si>
  <si>
    <t>Gusset plates welded to the mast. These are used to attach the shrouds to the mast.</t>
  </si>
  <si>
    <t>50*8 mm
L = 0,113*h + 0,68</t>
  </si>
  <si>
    <t>rho*L*0,05*0,008</t>
  </si>
  <si>
    <t>Base</t>
  </si>
  <si>
    <t>Embase</t>
  </si>
  <si>
    <t>Used to secure the mast to the concrete block</t>
  </si>
  <si>
    <t>100*10 mm
L = 1m</t>
  </si>
  <si>
    <t>rho*L*0,1*0,01</t>
  </si>
  <si>
    <t>Iron corner</t>
  </si>
  <si>
    <t>60*60*8 mm 
L = 1m</t>
  </si>
  <si>
    <t>rho*L*0,06*0,008*2</t>
  </si>
  <si>
    <t>Welding</t>
  </si>
  <si>
    <t>Soudure</t>
  </si>
  <si>
    <t>The total length of the weld is highly variable. The value used corresponds to the use of a whole pack of welding rods, i.e. 25 rods of 30 cm.</t>
  </si>
  <si>
    <t xml:space="preserve">5 m </t>
  </si>
  <si>
    <t>welding, arc, steel-RER</t>
  </si>
  <si>
    <t>Rigging</t>
  </si>
  <si>
    <t>Zinc coated hardaware</t>
  </si>
  <si>
    <t>Quincaillerie zinguée</t>
  </si>
  <si>
    <t>All the screws, nuts, cable clamp etc. used to build the structure. Most of the weight come from the hardware for the rigging. Pieces are galvanized.</t>
  </si>
  <si>
    <t>Hardware components are difficult to reuse. Regular inspection of tightening is recommended. They can last up to 20 years, with replacement carried out if necessary.</t>
  </si>
  <si>
    <t>0,92*h+1,28</t>
  </si>
  <si>
    <t>0,0552*h+0,0771</t>
  </si>
  <si>
    <t>Guy wire</t>
  </si>
  <si>
    <t>Hauban</t>
  </si>
  <si>
    <t xml:space="preserve">The shrouds keep the mast upright. Each layer consists of four shrouds, located at the front, back and sides of the turbine. The number of layers depends on the height of the mast. We assume a constant diameter but it varies according to the manual. </t>
  </si>
  <si>
    <t>Very long service life. However, in marine environments, it may be shorter. Rust can sometimes cause it to seize, requiring replacement after approximately 15 years. It is recoverable, and if broken, it can be sent to a metal recycler.</t>
  </si>
  <si>
    <t>D = 6 mm
L = 38,6 + -2,56*h + 0,564*h^2</t>
  </si>
  <si>
    <t>rho = 7850 kg/m³
k = 0,51 (fill factor)</t>
  </si>
  <si>
    <t>k * rho * pi * D²/4 * L</t>
  </si>
  <si>
    <t>wire drawing, steel-RER</t>
  </si>
  <si>
    <t xml:space="preserve">The guy wires are coated with zinc to protect them. </t>
  </si>
  <si>
    <t>D*pi*L</t>
  </si>
  <si>
    <t>Guy wire distributor</t>
  </si>
  <si>
    <t>Répartiteur haubans</t>
  </si>
  <si>
    <t>Used to attach guy wires to anchors on concrete blocks</t>
  </si>
  <si>
    <t>150*8 mm 
L = 1200 mm</t>
  </si>
  <si>
    <t>Linear mass = 9,42 kg/m</t>
  </si>
  <si>
    <t>L * Linear mass</t>
  </si>
  <si>
    <t>Cable 48V</t>
  </si>
  <si>
    <t>Copper wire</t>
  </si>
  <si>
    <t>Câble en cuivre</t>
  </si>
  <si>
    <t>Copper cathode</t>
  </si>
  <si>
    <t>Cable between generator and rectifier</t>
  </si>
  <si>
    <t>The cable can become twisted. If it is not unplugged and untwisted regularly, excessive twisting may occur, potentially causing a short circuit and damaging the stator. With proper maintenance, the cable does not need to be replaced and can last up to 20 years.</t>
  </si>
  <si>
    <t>S = 4 mm²
n = 3 (Three-phase)</t>
  </si>
  <si>
    <t>rho = 8960 kg/m³</t>
  </si>
  <si>
    <t>rho * S * h * n</t>
  </si>
  <si>
    <t>Plastic</t>
  </si>
  <si>
    <t>Plastique</t>
  </si>
  <si>
    <t>Polyethylene</t>
  </si>
  <si>
    <t>Electrical insulation</t>
  </si>
  <si>
    <t>D = 11,9 mm</t>
  </si>
  <si>
    <t>rho = 950 kg/m³</t>
  </si>
  <si>
    <t>polyethylene production, high density, granulate-RER</t>
  </si>
  <si>
    <t>Extrusion plastic</t>
  </si>
  <si>
    <t>extrusion, plastic pipes-RER</t>
  </si>
  <si>
    <t>Machine</t>
  </si>
  <si>
    <t>unit</t>
  </si>
  <si>
    <t>rolling mill production-RER</t>
  </si>
  <si>
    <t>Tap water</t>
  </si>
  <si>
    <t>17,424*h/12</t>
  </si>
  <si>
    <t>market for tap water-Europe without Switzerland</t>
  </si>
  <si>
    <t>Electronics</t>
  </si>
  <si>
    <t>Battery</t>
  </si>
  <si>
    <t>Lead acid Battery</t>
  </si>
  <si>
    <t>Batterie plomb</t>
  </si>
  <si>
    <t>Battery, lead acid, rechargeable, stationary</t>
  </si>
  <si>
    <t>Lead-acid batteries have a lifespan of 5 to 10 years. There is limited feedback on lithium-based batteries due to their relatively recent adoption. At end of life, both types can be sent to a metal recycler.</t>
  </si>
  <si>
    <t>market for battery, lead acid, rechargeable, stationary-GLO</t>
  </si>
  <si>
    <t>Resistor</t>
  </si>
  <si>
    <t>Dump load</t>
  </si>
  <si>
    <t>Résistance de décharge</t>
  </si>
  <si>
    <t>Resistor, auxilliaries and energy use</t>
  </si>
  <si>
    <t xml:space="preserve">Recyclé au fer. 20 ans </t>
  </si>
  <si>
    <t>resistor production, auxilliaries and energy use-GLO</t>
  </si>
  <si>
    <t>Inverter</t>
  </si>
  <si>
    <t>Inverter 500 W</t>
  </si>
  <si>
    <t>Onduleur</t>
  </si>
  <si>
    <t>Inverter, 0.5kW</t>
  </si>
  <si>
    <t>A common issue is voltage spikes, particularly due to lightning. Capacitors have a lifespan of 10 to 15 years. As they are difficult to replace, the entire component is often discarded. However, it is possible to dismantle certain parts, such as the heat sink, and send the rest to a metal recycler.</t>
  </si>
  <si>
    <t>inverter production, 0.5kW-RER</t>
  </si>
  <si>
    <t>Charge</t>
  </si>
  <si>
    <t>Components</t>
  </si>
  <si>
    <t>Composants</t>
  </si>
  <si>
    <t>Capacitors</t>
  </si>
  <si>
    <t>market for capacitor, auxilliaries and energy use</t>
  </si>
  <si>
    <t>controller</t>
  </si>
  <si>
    <t>Resistors, metal film</t>
  </si>
  <si>
    <t>market for resistor, metal film type, through-hole mounting</t>
  </si>
  <si>
    <t>(OSWACC)</t>
  </si>
  <si>
    <t>Resistors, wirewound</t>
  </si>
  <si>
    <t>market for resistor, wirewound, through-hole mounting</t>
  </si>
  <si>
    <t>Potentiometer</t>
  </si>
  <si>
    <t>market for potentiometer, unspecified</t>
  </si>
  <si>
    <t>Diodes</t>
  </si>
  <si>
    <t>market for diode, glass-, for through-hole mounting</t>
  </si>
  <si>
    <t>Transistors</t>
  </si>
  <si>
    <t>market for transistor, auxilliaries and energy use</t>
  </si>
  <si>
    <t>Integrated circuits</t>
  </si>
  <si>
    <t>market for integrated circuit, logic type</t>
  </si>
  <si>
    <t>PCB</t>
  </si>
  <si>
    <t>market for printed wiring board, through-hole mounted, unspecified, Pb free</t>
  </si>
  <si>
    <t>Soldering Tin</t>
  </si>
  <si>
    <t>tin production, RoW</t>
  </si>
  <si>
    <t>Heatsink</t>
  </si>
  <si>
    <t>Dissipateur thermique</t>
  </si>
  <si>
    <t>Aluminium for heatsink</t>
  </si>
  <si>
    <t>market for aluminium, primary, ingot</t>
  </si>
  <si>
    <t>Extrusion of aluminium</t>
  </si>
  <si>
    <t>market for impact extrusion of aluminium, 1 stroke</t>
  </si>
  <si>
    <t>Threading of heatsink</t>
  </si>
  <si>
    <t>market for metal working, average for aluminium product manufacturing</t>
  </si>
  <si>
    <t>Anodization of heatsink</t>
  </si>
  <si>
    <t>market for anodising, aluminium sheet</t>
  </si>
  <si>
    <t>Mounting clips</t>
  </si>
  <si>
    <t>Fixation</t>
  </si>
  <si>
    <t>Steel for transistor mounting clips</t>
  </si>
  <si>
    <t>market for steel, low-alloyed, hot rolled</t>
  </si>
  <si>
    <t>Shaping of transistor mounting clips</t>
  </si>
  <si>
    <t>market for metal working, average for steel product manufacturing</t>
  </si>
  <si>
    <t>Case</t>
  </si>
  <si>
    <t>Boîte</t>
  </si>
  <si>
    <t>ABS case</t>
  </si>
  <si>
    <t>market for acrylonitrile-butadiene-styrene copolymer</t>
  </si>
  <si>
    <t>Connectors</t>
  </si>
  <si>
    <t>Connecteurs</t>
  </si>
  <si>
    <t>market for electric connector, peripheral type buss</t>
  </si>
  <si>
    <t>Switch</t>
  </si>
  <si>
    <t>market for switch, toggle type</t>
  </si>
  <si>
    <t>Temp. Sensor cable</t>
  </si>
  <si>
    <t>cable production, connector for computer, without plugs</t>
  </si>
  <si>
    <t>Rectifier</t>
  </si>
  <si>
    <t>Redresseur</t>
  </si>
  <si>
    <t>Diode, glass-, for surface-mounting</t>
  </si>
  <si>
    <t>Rarely requires replacement and has an estimated service life of 20 years. At end of life, it can be sent to a metal recycler.</t>
  </si>
  <si>
    <t>diode production, glass-, for surface-mounting-GLO</t>
  </si>
  <si>
    <t>Copper</t>
  </si>
  <si>
    <t>Polycarbonate</t>
  </si>
  <si>
    <t>market for polycarbonate-GLO</t>
  </si>
  <si>
    <t>Rectifier heatsink</t>
  </si>
  <si>
    <t>Dissipateur thermique du redresseur</t>
  </si>
  <si>
    <t>Aluminium, primary, ingot</t>
  </si>
  <si>
    <t>Can be recovered from an inverter. Recyclable, can be disposed of in an aluminum recycling bin.</t>
  </si>
  <si>
    <t>market for aluminium, primary, ingot-IAI Area, EU27 &amp; EFTA</t>
  </si>
  <si>
    <t>Cables</t>
  </si>
  <si>
    <t>cable, three-conductor cable</t>
  </si>
  <si>
    <t>Can be sent to a metal recycler, either bare or with insulation. If no issues arise, it does not require replacement and can last up to 20 years.</t>
  </si>
  <si>
    <t>market for cable, unspecified</t>
  </si>
  <si>
    <t>Cable, one-conductor</t>
  </si>
  <si>
    <t>Circuit breaker</t>
  </si>
  <si>
    <t>Disjoncteur</t>
  </si>
  <si>
    <t>three poles circuit breaker</t>
  </si>
  <si>
    <t>Easily last 20 years. Can be sent to a metal recycler.</t>
  </si>
  <si>
    <t>Transport</t>
  </si>
  <si>
    <t>Container</t>
  </si>
  <si>
    <t>Contenaire</t>
  </si>
  <si>
    <t>market for transport, freight, sea, container ship-GLO</t>
  </si>
  <si>
    <t>Barge</t>
  </si>
  <si>
    <t>Péniche</t>
  </si>
  <si>
    <t>market for transport, freight, inland waterways, barge tanker-RER</t>
  </si>
  <si>
    <t>Train</t>
  </si>
  <si>
    <t>market group for transport, freight train-GLO</t>
  </si>
  <si>
    <t>Lorry</t>
  </si>
  <si>
    <t>Camion</t>
  </si>
  <si>
    <t>market group for transport, freight, lorry, unspecified-GLO</t>
  </si>
  <si>
    <t>Light commercial vehicle</t>
  </si>
  <si>
    <t>Camionette</t>
  </si>
  <si>
    <t>market group for transport, freight, light commercial vehicle-GLO</t>
  </si>
  <si>
    <t>Height of the mast in m</t>
  </si>
  <si>
    <t>Gusset in m</t>
  </si>
  <si>
    <t>Chevilles à frapper</t>
  </si>
  <si>
    <t>Ecrou</t>
  </si>
  <si>
    <t>Tendeur chape</t>
  </si>
  <si>
    <t>Manilles</t>
  </si>
  <si>
    <t>Serre câbles (only 6mm)</t>
  </si>
  <si>
    <t>Cosse coeur (6mm)</t>
  </si>
  <si>
    <t>Zinc hardware in kg</t>
  </si>
  <si>
    <t xml:space="preserve">Area coated in m (specific surface = 60 m²/t) </t>
  </si>
  <si>
    <t>Diam</t>
  </si>
  <si>
    <t>1m80</t>
  </si>
  <si>
    <t>2m40</t>
  </si>
  <si>
    <t>3m</t>
  </si>
  <si>
    <t>3m60</t>
  </si>
  <si>
    <t>4m20</t>
  </si>
  <si>
    <t>Masse volumique acier [kg/m³]</t>
  </si>
  <si>
    <t>Tiges filetées inox</t>
  </si>
  <si>
    <t>M12 x 1500</t>
  </si>
  <si>
    <t>M14 x 2000</t>
  </si>
  <si>
    <t>Poids [kg]</t>
  </si>
  <si>
    <t>Nb écrous inox</t>
  </si>
  <si>
    <t>Nb rondelles inox</t>
  </si>
  <si>
    <t>Vis inox</t>
  </si>
  <si>
    <t>Ø 5x40mm</t>
  </si>
  <si>
    <t>Ø 5x50mm</t>
  </si>
  <si>
    <t>Ø 5x60mm</t>
  </si>
  <si>
    <t>Ø 5x75mm</t>
  </si>
  <si>
    <t>Quantité vis inox</t>
  </si>
  <si>
    <t>Poids inox [kg]</t>
  </si>
  <si>
    <t>Vis fusée</t>
  </si>
  <si>
    <t>M12 x 40mm</t>
  </si>
  <si>
    <t>M14 x 40mm</t>
  </si>
  <si>
    <t>Vis safran</t>
  </si>
  <si>
    <t>M6 x 30 mm</t>
  </si>
  <si>
    <t>Vis 5 x 50 mm</t>
  </si>
  <si>
    <t>1 boîte (100 vis)</t>
  </si>
  <si>
    <t>Vis 5 x 30 mm</t>
  </si>
  <si>
    <t>Tiges filetées acier zingué</t>
  </si>
  <si>
    <t>M10 x 1000 et M12 x 1000 mm</t>
  </si>
  <si>
    <t>Écrous acier zingué</t>
  </si>
  <si>
    <t>10 en M10</t>
  </si>
  <si>
    <t>10 en M10 et 3 en M12</t>
  </si>
  <si>
    <t>Rondelles acier zingué</t>
  </si>
  <si>
    <t>2 en M10</t>
  </si>
  <si>
    <t>Poids zinc [kg]</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</si>
</sst>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
    <numFmt numFmtId="165" formatCode="0.000"/>
  </numFmts>
  <fonts count="17">
    <font>
      <sz val="10.0"/>
      <color rgb="FF000000"/>
      <name val="Arial"/>
      <scheme val="minor"/>
    </font>
    <font>
      <b/>
      <sz val="12.0"/>
      <color theme="1"/>
      <name val="Arial"/>
    </font>
    <font>
      <b/>
      <sz val="12.0"/>
      <color rgb="FFFFFFFF"/>
      <name val="Arial"/>
    </font>
    <font>
      <sz val="11.0"/>
      <color rgb="FF000000"/>
      <name val="Arial"/>
    </font>
    <font>
      <color theme="1"/>
      <name val="Arial"/>
    </font>
    <font>
      <sz val="10.0"/>
      <color theme="1"/>
      <name val="Arial"/>
    </font>
    <font>
      <sz val="11.0"/>
      <color theme="1"/>
      <name val="Arial"/>
    </font>
    <font/>
    <font>
      <b/>
      <color rgb="FFFFFFFF"/>
      <name val="Arial"/>
    </font>
    <font>
      <sz val="8.0"/>
      <color rgb="FF000000"/>
      <name val="Arial"/>
    </font>
    <font>
      <sz val="8.0"/>
      <color theme="1"/>
      <name val="Arial"/>
    </font>
    <font>
      <sz val="8.0"/>
      <color theme="1"/>
      <name val="&quot;Liberation Sans&quot;"/>
    </font>
    <font>
      <b/>
      <sz val="8.0"/>
      <color theme="1"/>
      <name val="Arial"/>
    </font>
    <font>
      <b/>
      <sz val="8.0"/>
      <color theme="1"/>
      <name val="&quot;Liberation Sans&quot;"/>
    </font>
    <font>
      <b/>
      <color theme="1"/>
      <name val="Arial"/>
    </font>
    <font>
      <color theme="1"/>
      <name val="Arial"/>
      <scheme val="minor"/>
    </font>
    <font>
      <sz val="10.0"/>
      <color theme="1"/>
      <name val="&quot;Liberation Sans&quot;"/>
    </font>
  </fonts>
  <fills count="19">
    <fill>
      <patternFill patternType="none"/>
    </fill>
    <fill>
      <patternFill patternType="lightGray"/>
    </fill>
    <fill>
      <patternFill patternType="solid">
        <fgColor rgb="FF073763"/>
        <bgColor rgb="FF073763"/>
      </patternFill>
    </fill>
    <fill>
      <patternFill patternType="solid">
        <fgColor rgb="FF0B5394"/>
        <bgColor rgb="FF0B5394"/>
      </patternFill>
    </fill>
    <fill>
      <patternFill patternType="solid">
        <fgColor rgb="FF9FC5E8"/>
        <bgColor rgb="FF9FC5E8"/>
      </patternFill>
    </fill>
    <fill>
      <patternFill patternType="solid">
        <fgColor rgb="FF6FA8DC"/>
        <bgColor rgb="FF6FA8DC"/>
      </patternFill>
    </fill>
    <fill>
      <patternFill patternType="solid">
        <fgColor rgb="FF3D85C6"/>
        <bgColor rgb="FF3D85C6"/>
      </patternFill>
    </fill>
    <fill>
      <patternFill patternType="solid">
        <fgColor rgb="FFA4C2F4"/>
        <bgColor rgb="FFA4C2F4"/>
      </patternFill>
    </fill>
    <fill>
      <patternFill patternType="solid">
        <fgColor rgb="FFFFFFFF"/>
        <bgColor rgb="FFFFFFFF"/>
      </patternFill>
    </fill>
    <fill>
      <patternFill patternType="solid">
        <fgColor rgb="FF274E13"/>
        <bgColor rgb="FF274E13"/>
      </patternFill>
    </fill>
    <fill>
      <patternFill patternType="solid">
        <fgColor rgb="FF38761D"/>
        <bgColor rgb="FF38761D"/>
      </patternFill>
    </fill>
    <fill>
      <patternFill patternType="solid">
        <fgColor rgb="FFB6D7A8"/>
        <bgColor rgb="FFB6D7A8"/>
      </patternFill>
    </fill>
    <fill>
      <patternFill patternType="solid">
        <fgColor rgb="FF93C47D"/>
        <bgColor rgb="FF93C47D"/>
      </patternFill>
    </fill>
    <fill>
      <patternFill patternType="solid">
        <fgColor rgb="FF6AA84F"/>
        <bgColor rgb="FF6AA84F"/>
      </patternFill>
    </fill>
    <fill>
      <patternFill patternType="solid">
        <fgColor rgb="FF783F04"/>
        <bgColor rgb="FF783F04"/>
      </patternFill>
    </fill>
    <fill>
      <patternFill patternType="solid">
        <fgColor rgb="FFE69138"/>
        <bgColor rgb="FFE69138"/>
      </patternFill>
    </fill>
    <fill>
      <patternFill patternType="solid">
        <fgColor rgb="FFF6B26B"/>
        <bgColor rgb="FFF6B26B"/>
      </patternFill>
    </fill>
    <fill>
      <patternFill patternType="solid">
        <fgColor rgb="FFB45F06"/>
        <bgColor rgb="FFB45F06"/>
      </patternFill>
    </fill>
    <fill>
      <patternFill patternType="solid">
        <fgColor rgb="FFF9CB9C"/>
        <bgColor rgb="FFF9CB9C"/>
      </patternFill>
    </fill>
  </fills>
  <borders count="9">
    <border/>
    <border>
      <right style="thin">
        <color rgb="FF000000"/>
      </right>
    </border>
    <border>
      <left style="thin">
        <color rgb="FF000000"/>
      </left>
      <right style="thin">
        <color rgb="FF000000"/>
      </right>
    </border>
    <border>
      <top style="thin">
        <color rgb="FF000000"/>
      </top>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thin">
        <color rgb="FF000000"/>
      </left>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95">
    <xf borderId="0" fillId="0" fontId="0" numFmtId="0" xfId="0" applyAlignment="1" applyFont="1">
      <alignment readingOrder="0" shrinkToFit="0" vertical="bottom" wrapText="0"/>
    </xf>
    <xf borderId="1" fillId="0" fontId="1" numFmtId="0" xfId="0" applyAlignment="1" applyBorder="1" applyFont="1">
      <alignment horizontal="center" shrinkToFit="0" vertical="top" wrapText="1"/>
    </xf>
    <xf borderId="2" fillId="0" fontId="1" numFmtId="0" xfId="0" applyAlignment="1" applyBorder="1" applyFont="1">
      <alignment horizontal="center" shrinkToFit="0" vertical="top" wrapText="1"/>
    </xf>
    <xf borderId="1" fillId="2" fontId="2" numFmtId="0" xfId="0" applyAlignment="1" applyBorder="1" applyFill="1" applyFont="1">
      <alignment shrinkToFit="0" vertical="top" wrapText="1"/>
    </xf>
    <xf borderId="2" fillId="3" fontId="3" numFmtId="0" xfId="0" applyAlignment="1" applyBorder="1" applyFill="1" applyFont="1">
      <alignment shrinkToFit="0" vertical="top" wrapText="1"/>
    </xf>
    <xf borderId="2" fillId="4" fontId="4" numFmtId="0" xfId="0" applyAlignment="1" applyBorder="1" applyFill="1" applyFont="1">
      <alignment shrinkToFit="0" vertical="top" wrapText="1"/>
    </xf>
    <xf borderId="2" fillId="4" fontId="5" numFmtId="0" xfId="0" applyAlignment="1" applyBorder="1" applyFont="1">
      <alignment shrinkToFit="0" vertical="top" wrapText="1"/>
    </xf>
    <xf borderId="2" fillId="5" fontId="4" numFmtId="0" xfId="0" applyAlignment="1" applyBorder="1" applyFill="1" applyFont="1">
      <alignment shrinkToFit="0" vertical="top" wrapText="1"/>
    </xf>
    <xf borderId="1" fillId="2" fontId="4" numFmtId="0" xfId="0" applyAlignment="1" applyBorder="1" applyFont="1">
      <alignment shrinkToFit="0" vertical="top" wrapText="1"/>
    </xf>
    <xf borderId="2" fillId="6" fontId="6" numFmtId="0" xfId="0" applyAlignment="1" applyBorder="1" applyFill="1" applyFont="1">
      <alignment shrinkToFit="0" vertical="top" wrapText="1"/>
    </xf>
    <xf borderId="2" fillId="0" fontId="7" numFmtId="0" xfId="0" applyBorder="1" applyFont="1"/>
    <xf borderId="2" fillId="4" fontId="6" numFmtId="0" xfId="0" applyAlignment="1" applyBorder="1" applyFont="1">
      <alignment shrinkToFit="0" vertical="top" wrapText="1"/>
    </xf>
    <xf borderId="2" fillId="4" fontId="4" numFmtId="0" xfId="0" applyAlignment="1" applyBorder="1" applyFont="1">
      <alignment horizontal="center" shrinkToFit="0" vertical="top" wrapText="1"/>
    </xf>
    <xf borderId="2" fillId="3" fontId="6" numFmtId="0" xfId="0" applyAlignment="1" applyBorder="1" applyFont="1">
      <alignment shrinkToFit="0" vertical="top" wrapText="1"/>
    </xf>
    <xf borderId="2" fillId="7" fontId="4" numFmtId="0" xfId="0" applyAlignment="1" applyBorder="1" applyFill="1" applyFont="1">
      <alignment shrinkToFit="0" vertical="top" wrapText="1"/>
    </xf>
    <xf borderId="2" fillId="7" fontId="4" numFmtId="0" xfId="0" applyAlignment="1" applyBorder="1" applyFont="1">
      <alignment horizontal="center" shrinkToFit="0" vertical="top" wrapText="1"/>
    </xf>
    <xf borderId="2" fillId="5" fontId="4" numFmtId="0" xfId="0" applyAlignment="1" applyBorder="1" applyFont="1">
      <alignment horizontal="center" shrinkToFit="0" vertical="top" wrapText="1"/>
    </xf>
    <xf borderId="3" fillId="8" fontId="4" numFmtId="0" xfId="0" applyAlignment="1" applyBorder="1" applyFill="1" applyFont="1">
      <alignment shrinkToFit="0" vertical="top" wrapText="1"/>
    </xf>
    <xf borderId="3" fillId="8" fontId="6" numFmtId="0" xfId="0" applyAlignment="1" applyBorder="1" applyFont="1">
      <alignment shrinkToFit="0" vertical="top" wrapText="1"/>
    </xf>
    <xf borderId="0" fillId="8" fontId="4" numFmtId="0" xfId="0" applyAlignment="1" applyFont="1">
      <alignment shrinkToFit="0" vertical="top" wrapText="1"/>
    </xf>
    <xf borderId="0" fillId="8" fontId="6" numFmtId="0" xfId="0" applyAlignment="1" applyFont="1">
      <alignment shrinkToFit="0" vertical="top" wrapText="1"/>
    </xf>
    <xf borderId="0" fillId="8" fontId="4" numFmtId="0" xfId="0" applyFont="1"/>
    <xf borderId="4" fillId="0" fontId="1" numFmtId="0" xfId="0" applyAlignment="1" applyBorder="1" applyFont="1">
      <alignment horizontal="center" shrinkToFit="0" vertical="top" wrapText="1"/>
    </xf>
    <xf borderId="2" fillId="9" fontId="2" numFmtId="0" xfId="0" applyAlignment="1" applyBorder="1" applyFill="1" applyFont="1">
      <alignment shrinkToFit="0" vertical="top" wrapText="1"/>
    </xf>
    <xf borderId="2" fillId="10" fontId="3" numFmtId="0" xfId="0" applyAlignment="1" applyBorder="1" applyFill="1" applyFont="1">
      <alignment shrinkToFit="0" vertical="top" wrapText="1"/>
    </xf>
    <xf borderId="2" fillId="11" fontId="4" numFmtId="0" xfId="0" applyAlignment="1" applyBorder="1" applyFill="1" applyFont="1">
      <alignment shrinkToFit="0" vertical="top" wrapText="1"/>
    </xf>
    <xf borderId="2" fillId="11" fontId="4" numFmtId="0" xfId="0" applyAlignment="1" applyBorder="1" applyFont="1">
      <alignment readingOrder="0" shrinkToFit="0" vertical="top" wrapText="1"/>
    </xf>
    <xf borderId="2" fillId="12" fontId="4" numFmtId="0" xfId="0" applyAlignment="1" applyBorder="1" applyFill="1" applyFont="1">
      <alignment shrinkToFit="0" vertical="top" wrapText="1"/>
    </xf>
    <xf borderId="2" fillId="12" fontId="4" numFmtId="0" xfId="0" applyAlignment="1" applyBorder="1" applyFont="1">
      <alignment readingOrder="0" shrinkToFit="0" vertical="top" wrapText="1"/>
    </xf>
    <xf borderId="2" fillId="12" fontId="4" numFmtId="164" xfId="0" applyAlignment="1" applyBorder="1" applyFont="1" applyNumberFormat="1">
      <alignment shrinkToFit="0" vertical="top" wrapText="1"/>
    </xf>
    <xf borderId="2" fillId="12" fontId="4" numFmtId="164" xfId="0" applyAlignment="1" applyBorder="1" applyFont="1" applyNumberFormat="1">
      <alignment horizontal="right" readingOrder="0" shrinkToFit="0" vertical="top" wrapText="1"/>
    </xf>
    <xf borderId="2" fillId="9" fontId="4" numFmtId="0" xfId="0" applyAlignment="1" applyBorder="1" applyFont="1">
      <alignment shrinkToFit="0" vertical="top" wrapText="1"/>
    </xf>
    <xf borderId="2" fillId="10" fontId="4" numFmtId="0" xfId="0" applyAlignment="1" applyBorder="1" applyFont="1">
      <alignment shrinkToFit="0" vertical="top" wrapText="1"/>
    </xf>
    <xf borderId="2" fillId="11" fontId="4" numFmtId="164" xfId="0" applyAlignment="1" applyBorder="1" applyFont="1" applyNumberFormat="1">
      <alignment shrinkToFit="0" vertical="top" wrapText="1"/>
    </xf>
    <xf borderId="2" fillId="11" fontId="4" numFmtId="2" xfId="0" applyAlignment="1" applyBorder="1" applyFont="1" applyNumberFormat="1">
      <alignment shrinkToFit="0" vertical="top" wrapText="1"/>
    </xf>
    <xf borderId="2" fillId="11" fontId="4" numFmtId="165" xfId="0" applyAlignment="1" applyBorder="1" applyFont="1" applyNumberFormat="1">
      <alignment shrinkToFit="0" vertical="top" wrapText="1"/>
    </xf>
    <xf borderId="2" fillId="13" fontId="6" numFmtId="0" xfId="0" applyAlignment="1" applyBorder="1" applyFill="1" applyFont="1">
      <alignment shrinkToFit="0" vertical="top" wrapText="1"/>
    </xf>
    <xf borderId="2" fillId="12" fontId="4" numFmtId="0" xfId="0" applyAlignment="1" applyBorder="1" applyFont="1">
      <alignment horizontal="right" shrinkToFit="0" vertical="top" wrapText="1"/>
    </xf>
    <xf borderId="2" fillId="13" fontId="4" numFmtId="0" xfId="0" applyAlignment="1" applyBorder="1" applyFont="1">
      <alignment shrinkToFit="0" vertical="top" wrapText="1"/>
    </xf>
    <xf borderId="2" fillId="12" fontId="4" numFmtId="0" xfId="0" applyAlignment="1" applyBorder="1" applyFont="1">
      <alignment horizontal="center" shrinkToFit="0" vertical="top" wrapText="1"/>
    </xf>
    <xf borderId="2" fillId="12" fontId="4" numFmtId="0" xfId="0" applyAlignment="1" applyBorder="1" applyFont="1">
      <alignment horizontal="center" readingOrder="0" shrinkToFit="0" vertical="top" wrapText="1"/>
    </xf>
    <xf borderId="2" fillId="11" fontId="4" numFmtId="164" xfId="0" applyAlignment="1" applyBorder="1" applyFont="1" applyNumberFormat="1">
      <alignment horizontal="right" shrinkToFit="0" vertical="top" wrapText="1"/>
    </xf>
    <xf borderId="2" fillId="11" fontId="4" numFmtId="0" xfId="0" applyAlignment="1" applyBorder="1" applyFont="1">
      <alignment horizontal="center" shrinkToFit="0" vertical="top" wrapText="1"/>
    </xf>
    <xf borderId="2" fillId="12" fontId="4" numFmtId="0" xfId="0" applyAlignment="1" applyBorder="1" applyFont="1">
      <alignment vertical="top"/>
    </xf>
    <xf borderId="2" fillId="12" fontId="4" numFmtId="164" xfId="0" applyAlignment="1" applyBorder="1" applyFont="1" applyNumberFormat="1">
      <alignment horizontal="right" shrinkToFit="0" vertical="top" wrapText="1"/>
    </xf>
    <xf borderId="2" fillId="11" fontId="6" numFmtId="0" xfId="0" applyAlignment="1" applyBorder="1" applyFont="1">
      <alignment shrinkToFit="0" vertical="top" wrapText="1"/>
    </xf>
    <xf borderId="2" fillId="11" fontId="5" numFmtId="0" xfId="0" applyAlignment="1" applyBorder="1" applyFont="1">
      <alignment shrinkToFit="0" vertical="top" wrapText="1"/>
    </xf>
    <xf borderId="2" fillId="10" fontId="6" numFmtId="0" xfId="0" applyAlignment="1" applyBorder="1" applyFont="1">
      <alignment shrinkToFit="0" vertical="top" wrapText="1"/>
    </xf>
    <xf borderId="2" fillId="11" fontId="4" numFmtId="0" xfId="0" applyAlignment="1" applyBorder="1" applyFont="1">
      <alignment horizontal="right" shrinkToFit="0" vertical="top" wrapText="1"/>
    </xf>
    <xf borderId="2" fillId="11" fontId="4" numFmtId="0" xfId="0" applyAlignment="1" applyBorder="1" applyFont="1">
      <alignment horizontal="left" shrinkToFit="0" vertical="top" wrapText="1"/>
    </xf>
    <xf borderId="2" fillId="12" fontId="6" numFmtId="0" xfId="0" applyAlignment="1" applyBorder="1" applyFont="1">
      <alignment shrinkToFit="0" vertical="top" wrapText="1"/>
    </xf>
    <xf borderId="2" fillId="12" fontId="4" numFmtId="0" xfId="0" applyAlignment="1" applyBorder="1" applyFont="1">
      <alignment horizontal="left" shrinkToFit="0" vertical="top" wrapText="1"/>
    </xf>
    <xf borderId="2" fillId="11" fontId="4" numFmtId="11" xfId="0" applyAlignment="1" applyBorder="1" applyFont="1" applyNumberFormat="1">
      <alignment shrinkToFit="0" vertical="top" wrapText="1"/>
    </xf>
    <xf borderId="5" fillId="9" fontId="4" numFmtId="0" xfId="0" applyAlignment="1" applyBorder="1" applyFont="1">
      <alignment shrinkToFit="0" vertical="top" wrapText="1"/>
    </xf>
    <xf borderId="5" fillId="13" fontId="6" numFmtId="0" xfId="0" applyAlignment="1" applyBorder="1" applyFont="1">
      <alignment shrinkToFit="0" vertical="top" wrapText="1"/>
    </xf>
    <xf borderId="5" fillId="11" fontId="4" numFmtId="0" xfId="0" applyAlignment="1" applyBorder="1" applyFont="1">
      <alignment shrinkToFit="0" vertical="top" wrapText="1"/>
    </xf>
    <xf borderId="5" fillId="11" fontId="4" numFmtId="0" xfId="0" applyAlignment="1" applyBorder="1" applyFont="1">
      <alignment horizontal="right" shrinkToFit="0" vertical="top" wrapText="1"/>
    </xf>
    <xf borderId="0" fillId="0" fontId="4" numFmtId="0" xfId="0" applyAlignment="1" applyFont="1">
      <alignment shrinkToFit="0" vertical="top" wrapText="1"/>
    </xf>
    <xf borderId="0" fillId="14" fontId="8" numFmtId="0" xfId="0" applyFill="1" applyFont="1"/>
    <xf borderId="2" fillId="15" fontId="9" numFmtId="0" xfId="0" applyAlignment="1" applyBorder="1" applyFill="1" applyFont="1">
      <alignment horizontal="left" vertical="bottom"/>
    </xf>
    <xf borderId="2" fillId="16" fontId="9" numFmtId="0" xfId="0" applyAlignment="1" applyBorder="1" applyFill="1" applyFont="1">
      <alignment horizontal="left" vertical="bottom"/>
    </xf>
    <xf borderId="2" fillId="16" fontId="9" numFmtId="0" xfId="0" applyAlignment="1" applyBorder="1" applyFont="1">
      <alignment horizontal="left" shrinkToFit="0" vertical="bottom" wrapText="1"/>
    </xf>
    <xf borderId="0" fillId="14" fontId="4" numFmtId="0" xfId="0" applyFont="1"/>
    <xf borderId="2" fillId="17" fontId="9" numFmtId="0" xfId="0" applyAlignment="1" applyBorder="1" applyFill="1" applyFont="1">
      <alignment horizontal="left" vertical="bottom"/>
    </xf>
    <xf borderId="2" fillId="18" fontId="9" numFmtId="0" xfId="0" applyAlignment="1" applyBorder="1" applyFill="1" applyFont="1">
      <alignment horizontal="left" vertical="bottom"/>
    </xf>
    <xf borderId="2" fillId="18" fontId="10" numFmtId="0" xfId="0" applyAlignment="1" applyBorder="1" applyFont="1">
      <alignment horizontal="left" vertical="bottom"/>
    </xf>
    <xf borderId="2" fillId="17" fontId="10" numFmtId="0" xfId="0" applyAlignment="1" applyBorder="1" applyFont="1">
      <alignment horizontal="left" vertical="bottom"/>
    </xf>
    <xf borderId="2" fillId="16" fontId="10" numFmtId="0" xfId="0" applyAlignment="1" applyBorder="1" applyFont="1">
      <alignment horizontal="left" vertical="bottom"/>
    </xf>
    <xf borderId="2" fillId="18" fontId="9" numFmtId="0" xfId="0" applyAlignment="1" applyBorder="1" applyFont="1">
      <alignment horizontal="left" shrinkToFit="0" vertical="bottom" wrapText="1"/>
    </xf>
    <xf borderId="2" fillId="15" fontId="10" numFmtId="0" xfId="0" applyAlignment="1" applyBorder="1" applyFont="1">
      <alignment horizontal="left" vertical="bottom"/>
    </xf>
    <xf borderId="5" fillId="17" fontId="10" numFmtId="0" xfId="0" applyAlignment="1" applyBorder="1" applyFont="1">
      <alignment horizontal="left" vertical="bottom"/>
    </xf>
    <xf borderId="5" fillId="18" fontId="9" numFmtId="0" xfId="0" applyAlignment="1" applyBorder="1" applyFont="1">
      <alignment horizontal="left" vertical="bottom"/>
    </xf>
    <xf borderId="5" fillId="18" fontId="10" numFmtId="0" xfId="0" applyAlignment="1" applyBorder="1" applyFont="1">
      <alignment horizontal="left" vertical="bottom"/>
    </xf>
    <xf borderId="0" fillId="0" fontId="4" numFmtId="0" xfId="0" applyFont="1"/>
    <xf borderId="4" fillId="0" fontId="1" numFmtId="0" xfId="0" applyBorder="1" applyFont="1"/>
    <xf borderId="2" fillId="0" fontId="11" numFmtId="0" xfId="0" applyAlignment="1" applyBorder="1" applyFont="1">
      <alignment horizontal="left"/>
    </xf>
    <xf borderId="2" fillId="0" fontId="11" numFmtId="0" xfId="0" applyAlignment="1" applyBorder="1" applyFont="1">
      <alignment horizontal="right"/>
    </xf>
    <xf borderId="2" fillId="0" fontId="10" numFmtId="0" xfId="0" applyAlignment="1" applyBorder="1" applyFont="1">
      <alignment horizontal="left"/>
    </xf>
    <xf borderId="2" fillId="0" fontId="10" numFmtId="0" xfId="0" applyAlignment="1" applyBorder="1" applyFont="1">
      <alignment horizontal="right"/>
    </xf>
    <xf borderId="5" fillId="0" fontId="12" numFmtId="0" xfId="0" applyAlignment="1" applyBorder="1" applyFont="1">
      <alignment horizontal="left"/>
    </xf>
    <xf borderId="5" fillId="0" fontId="13" numFmtId="2" xfId="0" applyAlignment="1" applyBorder="1" applyFont="1" applyNumberFormat="1">
      <alignment horizontal="left"/>
    </xf>
    <xf borderId="6" fillId="0" fontId="11" numFmtId="0" xfId="0" applyAlignment="1" applyBorder="1" applyFont="1">
      <alignment horizontal="center"/>
    </xf>
    <xf borderId="1" fillId="0" fontId="7" numFmtId="0" xfId="0" applyBorder="1" applyFont="1"/>
    <xf borderId="2" fillId="0" fontId="4" numFmtId="0" xfId="0" applyBorder="1" applyFont="1"/>
    <xf borderId="5" fillId="0" fontId="14" numFmtId="0" xfId="0" applyBorder="1" applyFont="1"/>
    <xf borderId="5" fillId="0" fontId="14" numFmtId="2" xfId="0" applyBorder="1" applyFont="1" applyNumberFormat="1"/>
    <xf borderId="0" fillId="0" fontId="10" numFmtId="0" xfId="0" applyAlignment="1" applyFont="1">
      <alignment horizontal="left"/>
    </xf>
    <xf borderId="7" fillId="0" fontId="15" numFmtId="0" xfId="0" applyBorder="1" applyFont="1"/>
    <xf borderId="4" fillId="0" fontId="5" numFmtId="0" xfId="0" applyAlignment="1" applyBorder="1" applyFont="1">
      <alignment horizontal="left"/>
    </xf>
    <xf borderId="4" fillId="0" fontId="4" numFmtId="0" xfId="0" applyBorder="1" applyFont="1"/>
    <xf borderId="8" fillId="0" fontId="4" numFmtId="0" xfId="0" applyBorder="1" applyFont="1"/>
    <xf borderId="4" fillId="0" fontId="16" numFmtId="2" xfId="0" applyAlignment="1" applyBorder="1" applyFont="1" applyNumberFormat="1">
      <alignment horizontal="right"/>
    </xf>
    <xf borderId="4" fillId="0" fontId="4" numFmtId="2" xfId="0" applyBorder="1" applyFont="1" applyNumberFormat="1"/>
    <xf borderId="2" fillId="0" fontId="4" numFmtId="2" xfId="0" applyBorder="1" applyFont="1" applyNumberFormat="1"/>
    <xf borderId="5" fillId="0" fontId="4" numFmtId="2" xfId="0" applyBorder="1" applyFont="1" applyNumberFormat="1"/>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customschemas.google.com/relationships/workbookmetadata" Target="metadata"/><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4.xml"/><Relationship Id="rId3"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5.xml"/><Relationship Id="rId3"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0"/>
  <cols>
    <col customWidth="1" min="1" max="1" width="10.75"/>
    <col customWidth="1" min="2" max="5" width="12.63"/>
    <col customWidth="1" min="6" max="6" width="24.75"/>
    <col customWidth="1" min="7" max="7" width="46.5"/>
    <col customWidth="1" min="8" max="8" width="19.25"/>
  </cols>
  <sheetData>
    <row r="1" ht="15.75" customHeight="1">
      <c r="A1" s="1"/>
      <c r="B1" s="2" t="s">
        <v>0</v>
      </c>
      <c r="C1" s="2" t="s">
        <v>1</v>
      </c>
      <c r="D1" s="2" t="s">
        <v>2</v>
      </c>
      <c r="E1" s="2" t="s">
        <v>3</v>
      </c>
      <c r="F1" s="2" t="s">
        <v>4</v>
      </c>
      <c r="G1" s="2" t="s">
        <v>5</v>
      </c>
      <c r="H1" s="2" t="s">
        <v>6</v>
      </c>
    </row>
    <row r="2" ht="15.75" customHeight="1">
      <c r="A2" s="3" t="s">
        <v>7</v>
      </c>
      <c r="B2" s="4" t="s">
        <v>8</v>
      </c>
      <c r="C2" s="5" t="s">
        <v>9</v>
      </c>
      <c r="D2" s="5" t="s">
        <v>10</v>
      </c>
      <c r="E2" s="5" t="s">
        <v>11</v>
      </c>
      <c r="F2" s="5" t="s">
        <v>12</v>
      </c>
      <c r="G2" s="6" t="s">
        <v>13</v>
      </c>
      <c r="H2" s="5"/>
    </row>
    <row r="3" ht="15.75" customHeight="1">
      <c r="A3" s="3"/>
      <c r="B3" s="4"/>
      <c r="C3" s="7" t="s">
        <v>14</v>
      </c>
      <c r="D3" s="7" t="s">
        <v>15</v>
      </c>
      <c r="E3" s="7" t="s">
        <v>16</v>
      </c>
      <c r="F3" s="7" t="s">
        <v>17</v>
      </c>
      <c r="G3" s="7"/>
      <c r="H3" s="7" t="s">
        <v>18</v>
      </c>
    </row>
    <row r="4" ht="39.0" customHeight="1">
      <c r="A4" s="8"/>
      <c r="B4" s="9" t="s">
        <v>19</v>
      </c>
      <c r="C4" s="5" t="s">
        <v>20</v>
      </c>
      <c r="D4" s="5" t="s">
        <v>21</v>
      </c>
      <c r="E4" s="5" t="s">
        <v>22</v>
      </c>
      <c r="F4" s="5" t="s">
        <v>23</v>
      </c>
      <c r="G4" s="5" t="s">
        <v>24</v>
      </c>
      <c r="H4" s="5"/>
    </row>
    <row r="5" ht="42.75" customHeight="1">
      <c r="A5" s="8"/>
      <c r="B5" s="9"/>
      <c r="C5" s="5"/>
      <c r="D5" s="5"/>
      <c r="E5" s="5" t="s">
        <v>25</v>
      </c>
      <c r="F5" s="5" t="s">
        <v>26</v>
      </c>
      <c r="G5" s="10"/>
      <c r="H5" s="5"/>
    </row>
    <row r="6" ht="44.25" customHeight="1">
      <c r="A6" s="8"/>
      <c r="B6" s="9"/>
      <c r="C6" s="5"/>
      <c r="D6" s="5"/>
      <c r="E6" s="5" t="s">
        <v>27</v>
      </c>
      <c r="F6" s="5" t="s">
        <v>28</v>
      </c>
      <c r="G6" s="10"/>
      <c r="H6" s="5"/>
    </row>
    <row r="7" ht="15.75" customHeight="1">
      <c r="A7" s="8"/>
      <c r="B7" s="9"/>
      <c r="C7" s="7" t="s">
        <v>29</v>
      </c>
      <c r="D7" s="7" t="s">
        <v>30</v>
      </c>
      <c r="E7" s="7" t="s">
        <v>31</v>
      </c>
      <c r="F7" s="7" t="s">
        <v>32</v>
      </c>
      <c r="G7" s="7"/>
      <c r="H7" s="7"/>
    </row>
    <row r="8" ht="15.75" customHeight="1">
      <c r="A8" s="8"/>
      <c r="B8" s="9"/>
      <c r="C8" s="7"/>
      <c r="D8" s="7"/>
      <c r="E8" s="7" t="s">
        <v>33</v>
      </c>
      <c r="F8" s="7" t="s">
        <v>34</v>
      </c>
      <c r="G8" s="7"/>
      <c r="H8" s="7"/>
    </row>
    <row r="9" ht="15.75" customHeight="1">
      <c r="A9" s="8"/>
      <c r="B9" s="9"/>
      <c r="C9" s="7"/>
      <c r="D9" s="7"/>
      <c r="E9" s="7" t="s">
        <v>35</v>
      </c>
      <c r="F9" s="7" t="s">
        <v>36</v>
      </c>
      <c r="G9" s="7"/>
      <c r="H9" s="7"/>
    </row>
    <row r="10" ht="15.75" customHeight="1">
      <c r="A10" s="8"/>
      <c r="B10" s="9"/>
      <c r="C10" s="5" t="s">
        <v>31</v>
      </c>
      <c r="D10" s="5" t="s">
        <v>37</v>
      </c>
      <c r="E10" s="11" t="s">
        <v>38</v>
      </c>
      <c r="F10" s="5" t="s">
        <v>39</v>
      </c>
      <c r="G10" s="5"/>
      <c r="H10" s="12"/>
    </row>
    <row r="11" ht="15.75" customHeight="1">
      <c r="A11" s="8"/>
      <c r="B11" s="9"/>
      <c r="C11" s="5"/>
      <c r="D11" s="5"/>
      <c r="E11" s="5" t="s">
        <v>40</v>
      </c>
      <c r="F11" s="5" t="s">
        <v>41</v>
      </c>
      <c r="G11" s="5"/>
      <c r="H11" s="12"/>
    </row>
    <row r="12" ht="15.75" customHeight="1">
      <c r="A12" s="8"/>
      <c r="B12" s="9"/>
      <c r="C12" s="5"/>
      <c r="D12" s="5"/>
      <c r="E12" s="5" t="s">
        <v>42</v>
      </c>
      <c r="F12" s="5" t="s">
        <v>43</v>
      </c>
      <c r="G12" s="5"/>
      <c r="H12" s="12"/>
    </row>
    <row r="13" ht="15.75" customHeight="1">
      <c r="A13" s="8"/>
      <c r="B13" s="13" t="s">
        <v>44</v>
      </c>
      <c r="C13" s="7" t="s">
        <v>45</v>
      </c>
      <c r="D13" s="7" t="s">
        <v>46</v>
      </c>
      <c r="E13" s="7" t="s">
        <v>47</v>
      </c>
      <c r="F13" s="7" t="s">
        <v>48</v>
      </c>
      <c r="G13" s="7" t="s">
        <v>49</v>
      </c>
      <c r="H13" s="7"/>
    </row>
    <row r="14" ht="15.75" customHeight="1">
      <c r="A14" s="8"/>
      <c r="B14" s="13"/>
      <c r="C14" s="7"/>
      <c r="D14" s="7"/>
      <c r="E14" s="7" t="s">
        <v>50</v>
      </c>
      <c r="F14" s="7" t="s">
        <v>51</v>
      </c>
      <c r="G14" s="7"/>
      <c r="H14" s="7"/>
    </row>
    <row r="15" ht="39.75" customHeight="1">
      <c r="A15" s="8"/>
      <c r="B15" s="13"/>
      <c r="C15" s="14" t="s">
        <v>52</v>
      </c>
      <c r="D15" s="14" t="s">
        <v>53</v>
      </c>
      <c r="E15" s="14" t="s">
        <v>54</v>
      </c>
      <c r="F15" s="14" t="s">
        <v>55</v>
      </c>
      <c r="G15" s="14"/>
      <c r="H15" s="15"/>
    </row>
    <row r="16" ht="15.75" customHeight="1">
      <c r="A16" s="8"/>
      <c r="B16" s="13"/>
      <c r="C16" s="7" t="s">
        <v>31</v>
      </c>
      <c r="D16" s="7" t="s">
        <v>37</v>
      </c>
      <c r="E16" s="7" t="s">
        <v>38</v>
      </c>
      <c r="F16" s="7" t="s">
        <v>39</v>
      </c>
      <c r="G16" s="7"/>
      <c r="H16" s="16"/>
    </row>
    <row r="17" ht="15.75" customHeight="1">
      <c r="A17" s="8"/>
      <c r="B17" s="13"/>
      <c r="C17" s="7"/>
      <c r="D17" s="7"/>
      <c r="E17" s="7" t="s">
        <v>40</v>
      </c>
      <c r="F17" s="7" t="s">
        <v>41</v>
      </c>
      <c r="G17" s="7"/>
      <c r="H17" s="16"/>
    </row>
    <row r="18" ht="15.75" customHeight="1">
      <c r="A18" s="8"/>
      <c r="B18" s="13"/>
      <c r="C18" s="7"/>
      <c r="D18" s="7"/>
      <c r="E18" s="7" t="s">
        <v>42</v>
      </c>
      <c r="F18" s="7" t="s">
        <v>43</v>
      </c>
      <c r="G18" s="7"/>
      <c r="H18" s="16"/>
    </row>
    <row r="19" ht="55.5" customHeight="1">
      <c r="A19" s="8"/>
      <c r="B19" s="9" t="s">
        <v>56</v>
      </c>
      <c r="C19" s="14"/>
      <c r="D19" s="14"/>
      <c r="E19" s="14"/>
      <c r="F19" s="14"/>
      <c r="G19" s="14" t="s">
        <v>57</v>
      </c>
      <c r="H19" s="14"/>
    </row>
    <row r="20" ht="15.75" customHeight="1">
      <c r="A20" s="8"/>
      <c r="B20" s="13" t="s">
        <v>58</v>
      </c>
      <c r="C20" s="14" t="s">
        <v>59</v>
      </c>
      <c r="D20" s="14" t="s">
        <v>60</v>
      </c>
      <c r="E20" s="14" t="s">
        <v>16</v>
      </c>
      <c r="F20" s="14" t="s">
        <v>17</v>
      </c>
      <c r="G20" s="14" t="s">
        <v>61</v>
      </c>
      <c r="H20" s="14"/>
    </row>
    <row r="21" ht="15.75" customHeight="1">
      <c r="A21" s="8"/>
      <c r="B21" s="13"/>
      <c r="C21" s="14" t="s">
        <v>62</v>
      </c>
      <c r="D21" s="14" t="s">
        <v>63</v>
      </c>
      <c r="E21" s="14" t="s">
        <v>47</v>
      </c>
      <c r="F21" s="14" t="s">
        <v>64</v>
      </c>
      <c r="G21" s="14" t="s">
        <v>65</v>
      </c>
      <c r="H21" s="14"/>
    </row>
    <row r="22" ht="15.75" customHeight="1">
      <c r="A22" s="8"/>
      <c r="B22" s="13"/>
      <c r="C22" s="14"/>
      <c r="D22" s="14"/>
      <c r="E22" s="14" t="s">
        <v>66</v>
      </c>
      <c r="F22" s="14" t="s">
        <v>67</v>
      </c>
      <c r="G22" s="14"/>
      <c r="H22" s="14"/>
    </row>
    <row r="23" ht="15.75" customHeight="1">
      <c r="A23" s="8"/>
      <c r="B23" s="13"/>
      <c r="C23" s="14" t="s">
        <v>68</v>
      </c>
      <c r="D23" s="14" t="s">
        <v>69</v>
      </c>
      <c r="E23" s="14" t="s">
        <v>47</v>
      </c>
      <c r="F23" s="14" t="s">
        <v>70</v>
      </c>
      <c r="G23" s="14"/>
      <c r="H23" s="14"/>
    </row>
    <row r="24" ht="15.75" customHeight="1">
      <c r="A24" s="8"/>
      <c r="B24" s="13"/>
      <c r="C24" s="14"/>
      <c r="D24" s="14"/>
      <c r="E24" s="14" t="s">
        <v>66</v>
      </c>
      <c r="F24" s="14" t="s">
        <v>67</v>
      </c>
      <c r="G24" s="14"/>
      <c r="H24" s="14"/>
    </row>
    <row r="25" ht="15.75" customHeight="1">
      <c r="A25" s="8"/>
      <c r="B25" s="13"/>
      <c r="C25" s="14" t="s">
        <v>71</v>
      </c>
      <c r="D25" s="14" t="s">
        <v>72</v>
      </c>
      <c r="E25" s="14" t="s">
        <v>47</v>
      </c>
      <c r="F25" s="14" t="s">
        <v>70</v>
      </c>
      <c r="G25" s="14"/>
      <c r="H25" s="14"/>
    </row>
    <row r="26" ht="15.75" customHeight="1">
      <c r="A26" s="8"/>
      <c r="B26" s="9" t="s">
        <v>73</v>
      </c>
      <c r="C26" s="14" t="s">
        <v>74</v>
      </c>
      <c r="D26" s="14" t="s">
        <v>75</v>
      </c>
      <c r="E26" s="14" t="s">
        <v>47</v>
      </c>
      <c r="F26" s="14" t="s">
        <v>70</v>
      </c>
      <c r="G26" s="14" t="s">
        <v>76</v>
      </c>
      <c r="H26" s="14"/>
    </row>
    <row r="27" ht="15.75" customHeight="1">
      <c r="A27" s="8"/>
      <c r="B27" s="9"/>
      <c r="C27" s="14"/>
      <c r="D27" s="14"/>
      <c r="E27" s="14" t="s">
        <v>66</v>
      </c>
      <c r="F27" s="14" t="s">
        <v>67</v>
      </c>
      <c r="G27" s="14"/>
      <c r="H27" s="14"/>
    </row>
    <row r="28" ht="15.75" customHeight="1">
      <c r="A28" s="8"/>
      <c r="B28" s="9"/>
      <c r="C28" s="14" t="s">
        <v>77</v>
      </c>
      <c r="D28" s="14" t="s">
        <v>78</v>
      </c>
      <c r="E28" s="14" t="s">
        <v>47</v>
      </c>
      <c r="F28" s="14" t="s">
        <v>70</v>
      </c>
      <c r="G28" s="14"/>
      <c r="H28" s="14"/>
    </row>
    <row r="29" ht="15.75" customHeight="1">
      <c r="A29" s="8"/>
      <c r="B29" s="9"/>
      <c r="C29" s="14"/>
      <c r="D29" s="14"/>
      <c r="E29" s="14"/>
      <c r="F29" s="14"/>
      <c r="G29" s="14"/>
      <c r="H29" s="14"/>
    </row>
    <row r="30" ht="15.75" customHeight="1">
      <c r="A30" s="8"/>
      <c r="B30" s="13" t="s">
        <v>79</v>
      </c>
      <c r="C30" s="14" t="s">
        <v>80</v>
      </c>
      <c r="D30" s="14" t="s">
        <v>81</v>
      </c>
      <c r="E30" s="14" t="s">
        <v>82</v>
      </c>
      <c r="F30" s="14" t="s">
        <v>83</v>
      </c>
      <c r="G30" s="14" t="s">
        <v>84</v>
      </c>
      <c r="H30" s="15"/>
    </row>
    <row r="31" ht="15.75" customHeight="1">
      <c r="A31" s="8"/>
      <c r="B31" s="13"/>
      <c r="C31" s="14"/>
      <c r="D31" s="14"/>
      <c r="E31" s="14" t="s">
        <v>85</v>
      </c>
      <c r="F31" s="14" t="s">
        <v>86</v>
      </c>
      <c r="G31" s="14"/>
      <c r="H31" s="15"/>
    </row>
    <row r="32" ht="15.75" customHeight="1">
      <c r="A32" s="8"/>
      <c r="B32" s="13"/>
      <c r="C32" s="14" t="s">
        <v>87</v>
      </c>
      <c r="D32" s="14" t="s">
        <v>88</v>
      </c>
      <c r="E32" s="14" t="s">
        <v>47</v>
      </c>
      <c r="F32" s="14" t="s">
        <v>70</v>
      </c>
      <c r="G32" s="14" t="s">
        <v>89</v>
      </c>
      <c r="H32" s="15"/>
    </row>
    <row r="33" ht="15.75" customHeight="1">
      <c r="A33" s="8"/>
      <c r="B33" s="13"/>
      <c r="C33" s="14"/>
      <c r="D33" s="14"/>
      <c r="E33" s="14" t="s">
        <v>85</v>
      </c>
      <c r="F33" s="14" t="s">
        <v>90</v>
      </c>
      <c r="G33" s="14"/>
      <c r="H33" s="14"/>
    </row>
    <row r="34" ht="15.75" customHeight="1">
      <c r="A34" s="8"/>
      <c r="B34" s="13"/>
      <c r="C34" s="14"/>
      <c r="D34" s="14"/>
      <c r="E34" s="14" t="s">
        <v>50</v>
      </c>
      <c r="F34" s="14" t="s">
        <v>51</v>
      </c>
      <c r="G34" s="14"/>
      <c r="H34" s="14"/>
    </row>
    <row r="35" ht="15.75" customHeight="1">
      <c r="A35" s="8"/>
      <c r="B35" s="9" t="s">
        <v>91</v>
      </c>
      <c r="C35" s="14" t="s">
        <v>92</v>
      </c>
      <c r="D35" s="14" t="s">
        <v>93</v>
      </c>
      <c r="E35" s="14" t="s">
        <v>16</v>
      </c>
      <c r="F35" s="14"/>
      <c r="G35" s="14" t="s">
        <v>94</v>
      </c>
      <c r="H35" s="14"/>
    </row>
    <row r="36" ht="15.75" customHeight="1">
      <c r="A36" s="8"/>
      <c r="B36" s="9"/>
      <c r="C36" s="14"/>
      <c r="D36" s="14"/>
      <c r="E36" s="14" t="s">
        <v>95</v>
      </c>
      <c r="F36" s="14"/>
      <c r="G36" s="14"/>
      <c r="H36" s="14"/>
    </row>
    <row r="37" ht="15.75" customHeight="1">
      <c r="A37" s="8"/>
      <c r="B37" s="9"/>
      <c r="C37" s="14" t="s">
        <v>96</v>
      </c>
      <c r="D37" s="14" t="s">
        <v>97</v>
      </c>
      <c r="E37" s="14" t="s">
        <v>16</v>
      </c>
      <c r="F37" s="14"/>
      <c r="G37" s="14" t="s">
        <v>98</v>
      </c>
      <c r="H37" s="14"/>
    </row>
    <row r="38" ht="15.75" customHeight="1">
      <c r="A38" s="8"/>
      <c r="B38" s="13"/>
      <c r="C38" s="14"/>
      <c r="D38" s="14"/>
      <c r="E38" s="14"/>
      <c r="F38" s="14"/>
      <c r="G38" s="14"/>
      <c r="H38" s="14"/>
    </row>
    <row r="39" ht="15.75" customHeight="1">
      <c r="A39" s="17"/>
      <c r="B39" s="18"/>
      <c r="C39" s="17"/>
      <c r="D39" s="17"/>
      <c r="E39" s="17"/>
      <c r="F39" s="17"/>
      <c r="G39" s="17"/>
      <c r="H39" s="17"/>
    </row>
    <row r="40" ht="15.75" customHeight="1">
      <c r="A40" s="19"/>
      <c r="B40" s="20"/>
      <c r="C40" s="19"/>
      <c r="D40" s="19"/>
      <c r="E40" s="19"/>
      <c r="F40" s="19"/>
      <c r="G40" s="19"/>
      <c r="H40" s="19"/>
    </row>
    <row r="41" ht="15.75" customHeight="1">
      <c r="A41" s="19"/>
      <c r="B41" s="20"/>
      <c r="C41" s="19"/>
      <c r="D41" s="19"/>
      <c r="E41" s="19"/>
      <c r="F41" s="19"/>
      <c r="G41" s="19"/>
      <c r="H41" s="19"/>
    </row>
    <row r="42" ht="15.75" customHeight="1">
      <c r="A42" s="19"/>
      <c r="B42" s="20"/>
      <c r="C42" s="19"/>
      <c r="D42" s="19"/>
      <c r="E42" s="19"/>
      <c r="F42" s="19"/>
      <c r="G42" s="19"/>
      <c r="H42" s="19"/>
    </row>
    <row r="43" ht="15.75" customHeight="1">
      <c r="A43" s="19"/>
      <c r="B43" s="20"/>
      <c r="C43" s="19"/>
      <c r="D43" s="19"/>
      <c r="E43" s="19"/>
      <c r="F43" s="19"/>
      <c r="G43" s="19"/>
      <c r="H43" s="19"/>
    </row>
    <row r="44" ht="15.75" customHeight="1">
      <c r="A44" s="19"/>
      <c r="B44" s="21"/>
      <c r="C44" s="19"/>
      <c r="D44" s="19"/>
      <c r="E44" s="19"/>
      <c r="F44" s="19"/>
      <c r="G44" s="19"/>
      <c r="H44" s="19"/>
    </row>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G4:G6"/>
  </mergeCells>
  <printOptions gridLines="1" horizontalCentered="1"/>
  <pageMargins bottom="0.75" footer="0.0" header="0.0" left="0.25" right="0.25" top="0.75"/>
  <pageSetup paperSize="9" cellComments="atEnd" orientation="portrait"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0.13"/>
    <col customWidth="1" min="2" max="2" width="15.25"/>
    <col customWidth="1" min="3" max="3" width="8.88"/>
    <col customWidth="1" min="4" max="4" width="10.13"/>
    <col customWidth="1" min="5" max="5" width="15.25"/>
    <col customWidth="1" min="6" max="6" width="29.25"/>
    <col customWidth="1" min="7" max="7" width="33.38"/>
    <col customWidth="1" min="8" max="8" width="17.75"/>
    <col customWidth="1" min="9" max="9" width="21.13"/>
    <col customWidth="1" min="10" max="10" width="24.88"/>
    <col customWidth="1" min="13" max="13" width="21.0"/>
  </cols>
  <sheetData>
    <row r="1" ht="35.25" customHeight="1">
      <c r="A1" s="22" t="s">
        <v>99</v>
      </c>
      <c r="B1" s="22" t="s">
        <v>0</v>
      </c>
      <c r="C1" s="22" t="s">
        <v>1</v>
      </c>
      <c r="D1" s="22" t="s">
        <v>2</v>
      </c>
      <c r="E1" s="22" t="s">
        <v>3</v>
      </c>
      <c r="F1" s="22" t="s">
        <v>6</v>
      </c>
      <c r="G1" s="22" t="s">
        <v>100</v>
      </c>
      <c r="H1" s="22" t="s">
        <v>101</v>
      </c>
      <c r="I1" s="22" t="s">
        <v>102</v>
      </c>
      <c r="J1" s="22" t="s">
        <v>103</v>
      </c>
      <c r="K1" s="22" t="s">
        <v>104</v>
      </c>
      <c r="L1" s="22" t="s">
        <v>105</v>
      </c>
      <c r="M1" s="22" t="s">
        <v>4</v>
      </c>
    </row>
    <row r="2" ht="15.75" customHeight="1">
      <c r="A2" s="23" t="s">
        <v>106</v>
      </c>
      <c r="B2" s="24" t="s">
        <v>107</v>
      </c>
      <c r="C2" s="25" t="s">
        <v>108</v>
      </c>
      <c r="D2" s="25" t="s">
        <v>109</v>
      </c>
      <c r="E2" s="25"/>
      <c r="F2" s="26" t="s">
        <v>110</v>
      </c>
      <c r="G2" s="25" t="s">
        <v>111</v>
      </c>
      <c r="H2" s="25"/>
      <c r="I2" s="25"/>
      <c r="J2" s="25"/>
      <c r="K2" s="25"/>
      <c r="L2" s="25" t="s">
        <v>112</v>
      </c>
      <c r="M2" s="25" t="s">
        <v>113</v>
      </c>
    </row>
    <row r="3" ht="15.75" customHeight="1">
      <c r="A3" s="23"/>
      <c r="B3" s="24"/>
      <c r="C3" s="27" t="s">
        <v>114</v>
      </c>
      <c r="D3" s="27" t="s">
        <v>115</v>
      </c>
      <c r="E3" s="27" t="s">
        <v>116</v>
      </c>
      <c r="F3" s="27" t="s">
        <v>117</v>
      </c>
      <c r="G3" s="27"/>
      <c r="H3" s="28" t="s">
        <v>118</v>
      </c>
      <c r="I3" s="27" t="s">
        <v>119</v>
      </c>
      <c r="J3" s="29" t="s">
        <v>120</v>
      </c>
      <c r="K3" s="30" t="s">
        <v>121</v>
      </c>
      <c r="L3" s="27" t="s">
        <v>112</v>
      </c>
      <c r="M3" s="27" t="s">
        <v>122</v>
      </c>
    </row>
    <row r="4" ht="51.0" customHeight="1">
      <c r="A4" s="31"/>
      <c r="B4" s="32"/>
      <c r="C4" s="25" t="s">
        <v>123</v>
      </c>
      <c r="D4" s="25" t="s">
        <v>124</v>
      </c>
      <c r="E4" s="25" t="s">
        <v>116</v>
      </c>
      <c r="F4" s="25" t="s">
        <v>125</v>
      </c>
      <c r="G4" s="25"/>
      <c r="H4" s="25" t="s">
        <v>126</v>
      </c>
      <c r="I4" s="25" t="s">
        <v>127</v>
      </c>
      <c r="J4" s="33" t="s">
        <v>120</v>
      </c>
      <c r="K4" s="33">
        <f> 8.5 * 1.578</f>
        <v>13.413</v>
      </c>
      <c r="L4" s="25" t="s">
        <v>112</v>
      </c>
      <c r="M4" s="25" t="s">
        <v>122</v>
      </c>
    </row>
    <row r="5" ht="15.75" customHeight="1">
      <c r="A5" s="31"/>
      <c r="B5" s="32"/>
      <c r="C5" s="25"/>
      <c r="D5" s="25"/>
      <c r="E5" s="25" t="s">
        <v>50</v>
      </c>
      <c r="F5" s="25"/>
      <c r="G5" s="25"/>
      <c r="H5" s="25"/>
      <c r="I5" s="25"/>
      <c r="J5" s="34" t="s">
        <v>128</v>
      </c>
      <c r="K5" s="35">
        <f> PI()*8.5*0.016</f>
        <v>0.4272566009</v>
      </c>
      <c r="L5" s="25" t="s">
        <v>129</v>
      </c>
      <c r="M5" s="25" t="s">
        <v>51</v>
      </c>
    </row>
    <row r="6" ht="15.75" customHeight="1">
      <c r="A6" s="31"/>
      <c r="B6" s="36" t="s">
        <v>130</v>
      </c>
      <c r="C6" s="27" t="s">
        <v>131</v>
      </c>
      <c r="D6" s="27" t="s">
        <v>132</v>
      </c>
      <c r="E6" s="27" t="s">
        <v>133</v>
      </c>
      <c r="F6" s="27" t="s">
        <v>134</v>
      </c>
      <c r="G6" s="27" t="s">
        <v>135</v>
      </c>
      <c r="H6" s="27" t="s">
        <v>136</v>
      </c>
      <c r="I6" s="27" t="s">
        <v>137</v>
      </c>
      <c r="J6" s="27" t="s">
        <v>138</v>
      </c>
      <c r="K6" s="37" t="s">
        <v>121</v>
      </c>
      <c r="L6" s="27" t="s">
        <v>112</v>
      </c>
      <c r="M6" s="27" t="s">
        <v>64</v>
      </c>
    </row>
    <row r="7" ht="15.75" customHeight="1">
      <c r="A7" s="31"/>
      <c r="B7" s="38"/>
      <c r="C7" s="27"/>
      <c r="D7" s="27"/>
      <c r="E7" s="27" t="s">
        <v>66</v>
      </c>
      <c r="F7" s="39" t="s">
        <v>139</v>
      </c>
      <c r="G7" s="27"/>
      <c r="H7" s="39" t="s">
        <v>139</v>
      </c>
      <c r="I7" s="39" t="s">
        <v>139</v>
      </c>
      <c r="J7" s="40" t="s">
        <v>139</v>
      </c>
      <c r="K7" s="39" t="s">
        <v>139</v>
      </c>
      <c r="L7" s="39" t="s">
        <v>139</v>
      </c>
      <c r="M7" s="27" t="s">
        <v>67</v>
      </c>
    </row>
    <row r="8" ht="60.0" customHeight="1">
      <c r="A8" s="31"/>
      <c r="B8" s="38"/>
      <c r="C8" s="25" t="s">
        <v>140</v>
      </c>
      <c r="D8" s="25" t="s">
        <v>141</v>
      </c>
      <c r="E8" s="25" t="s">
        <v>133</v>
      </c>
      <c r="F8" s="25" t="s">
        <v>142</v>
      </c>
      <c r="G8" s="25"/>
      <c r="H8" s="25" t="s">
        <v>143</v>
      </c>
      <c r="I8" s="25" t="s">
        <v>137</v>
      </c>
      <c r="J8" s="33" t="s">
        <v>144</v>
      </c>
      <c r="K8" s="41" t="s">
        <v>121</v>
      </c>
      <c r="L8" s="25" t="s">
        <v>112</v>
      </c>
      <c r="M8" s="25" t="s">
        <v>64</v>
      </c>
    </row>
    <row r="9" ht="33.75" customHeight="1">
      <c r="A9" s="31"/>
      <c r="B9" s="38"/>
      <c r="C9" s="25"/>
      <c r="D9" s="25"/>
      <c r="E9" s="25" t="s">
        <v>66</v>
      </c>
      <c r="F9" s="42" t="s">
        <v>139</v>
      </c>
      <c r="G9" s="25"/>
      <c r="H9" s="42" t="s">
        <v>139</v>
      </c>
      <c r="I9" s="42" t="s">
        <v>139</v>
      </c>
      <c r="J9" s="42" t="s">
        <v>139</v>
      </c>
      <c r="K9" s="42" t="s">
        <v>139</v>
      </c>
      <c r="L9" s="42" t="s">
        <v>139</v>
      </c>
      <c r="M9" s="25" t="s">
        <v>67</v>
      </c>
    </row>
    <row r="10" ht="42.75" customHeight="1">
      <c r="A10" s="31"/>
      <c r="B10" s="38"/>
      <c r="C10" s="27" t="s">
        <v>145</v>
      </c>
      <c r="D10" s="27" t="s">
        <v>146</v>
      </c>
      <c r="E10" s="27" t="s">
        <v>133</v>
      </c>
      <c r="F10" s="27" t="s">
        <v>147</v>
      </c>
      <c r="G10" s="27"/>
      <c r="H10" s="27" t="s">
        <v>148</v>
      </c>
      <c r="I10" s="27" t="s">
        <v>137</v>
      </c>
      <c r="J10" s="27" t="s">
        <v>149</v>
      </c>
      <c r="K10" s="37" t="s">
        <v>121</v>
      </c>
      <c r="L10" s="27" t="s">
        <v>112</v>
      </c>
      <c r="M10" s="27" t="s">
        <v>64</v>
      </c>
    </row>
    <row r="11" ht="27.75" customHeight="1">
      <c r="A11" s="31"/>
      <c r="B11" s="38"/>
      <c r="C11" s="43"/>
      <c r="D11" s="43"/>
      <c r="E11" s="27" t="s">
        <v>66</v>
      </c>
      <c r="F11" s="27"/>
      <c r="G11" s="27"/>
      <c r="H11" s="39" t="s">
        <v>139</v>
      </c>
      <c r="I11" s="39" t="s">
        <v>139</v>
      </c>
      <c r="J11" s="40" t="s">
        <v>139</v>
      </c>
      <c r="K11" s="39" t="s">
        <v>139</v>
      </c>
      <c r="L11" s="39" t="s">
        <v>139</v>
      </c>
      <c r="M11" s="27" t="s">
        <v>67</v>
      </c>
    </row>
    <row r="12" ht="45.75" customHeight="1">
      <c r="A12" s="31"/>
      <c r="B12" s="38"/>
      <c r="C12" s="25" t="s">
        <v>150</v>
      </c>
      <c r="D12" s="25" t="s">
        <v>151</v>
      </c>
      <c r="E12" s="25" t="s">
        <v>47</v>
      </c>
      <c r="F12" s="25" t="s">
        <v>152</v>
      </c>
      <c r="G12" s="25"/>
      <c r="H12" s="25" t="s">
        <v>153</v>
      </c>
      <c r="I12" s="25" t="s">
        <v>137</v>
      </c>
      <c r="J12" s="33" t="s">
        <v>154</v>
      </c>
      <c r="K12" s="34">
        <f>7850*PI()*0.018^2*1/4</f>
        <v>1.997581689</v>
      </c>
      <c r="L12" s="25" t="s">
        <v>112</v>
      </c>
      <c r="M12" s="25" t="s">
        <v>70</v>
      </c>
    </row>
    <row r="13" ht="27.75" customHeight="1">
      <c r="A13" s="31"/>
      <c r="B13" s="38"/>
      <c r="C13" s="25"/>
      <c r="D13" s="25"/>
      <c r="E13" s="25" t="s">
        <v>85</v>
      </c>
      <c r="F13" s="25"/>
      <c r="G13" s="25"/>
      <c r="H13" s="42" t="s">
        <v>139</v>
      </c>
      <c r="I13" s="42" t="s">
        <v>139</v>
      </c>
      <c r="J13" s="42" t="s">
        <v>139</v>
      </c>
      <c r="K13" s="42" t="s">
        <v>139</v>
      </c>
      <c r="L13" s="42" t="s">
        <v>139</v>
      </c>
      <c r="M13" s="25" t="s">
        <v>90</v>
      </c>
    </row>
    <row r="14" ht="24.75" customHeight="1">
      <c r="A14" s="31"/>
      <c r="B14" s="38"/>
      <c r="C14" s="25"/>
      <c r="D14" s="25"/>
      <c r="E14" s="25" t="s">
        <v>50</v>
      </c>
      <c r="F14" s="25"/>
      <c r="G14" s="25"/>
      <c r="H14" s="25"/>
      <c r="I14" s="25"/>
      <c r="J14" s="33" t="s">
        <v>155</v>
      </c>
      <c r="K14" s="35">
        <f>PI()*0.018*1</f>
        <v>0.05654866776</v>
      </c>
      <c r="L14" s="25" t="s">
        <v>129</v>
      </c>
      <c r="M14" s="25" t="s">
        <v>156</v>
      </c>
    </row>
    <row r="15" ht="39.75" customHeight="1">
      <c r="A15" s="31"/>
      <c r="B15" s="38"/>
      <c r="C15" s="27" t="s">
        <v>157</v>
      </c>
      <c r="D15" s="27" t="s">
        <v>158</v>
      </c>
      <c r="E15" s="27" t="s">
        <v>159</v>
      </c>
      <c r="F15" s="27" t="s">
        <v>160</v>
      </c>
      <c r="G15" s="27"/>
      <c r="H15" s="27" t="s">
        <v>161</v>
      </c>
      <c r="I15" s="27" t="s">
        <v>137</v>
      </c>
      <c r="J15" s="27" t="s">
        <v>162</v>
      </c>
      <c r="K15" s="44" t="s">
        <v>121</v>
      </c>
      <c r="L15" s="27" t="s">
        <v>112</v>
      </c>
      <c r="M15" s="27" t="s">
        <v>70</v>
      </c>
    </row>
    <row r="16" ht="31.5" customHeight="1">
      <c r="A16" s="31"/>
      <c r="B16" s="38"/>
      <c r="C16" s="45" t="s">
        <v>163</v>
      </c>
      <c r="D16" s="45" t="s">
        <v>164</v>
      </c>
      <c r="E16" s="45" t="s">
        <v>159</v>
      </c>
      <c r="F16" s="45" t="s">
        <v>165</v>
      </c>
      <c r="G16" s="46"/>
      <c r="H16" s="45" t="s">
        <v>166</v>
      </c>
      <c r="I16" s="45" t="s">
        <v>137</v>
      </c>
      <c r="J16" s="25" t="s">
        <v>167</v>
      </c>
      <c r="K16" s="25">
        <f> 7850*1*0.1*0.01</f>
        <v>7.85</v>
      </c>
      <c r="L16" s="45" t="s">
        <v>112</v>
      </c>
      <c r="M16" s="46" t="s">
        <v>70</v>
      </c>
    </row>
    <row r="17" ht="33.0" customHeight="1">
      <c r="A17" s="31"/>
      <c r="B17" s="38"/>
      <c r="C17" s="45"/>
      <c r="D17" s="45"/>
      <c r="E17" s="45" t="s">
        <v>168</v>
      </c>
      <c r="F17" s="25"/>
      <c r="G17" s="25"/>
      <c r="H17" s="45" t="s">
        <v>169</v>
      </c>
      <c r="I17" s="45" t="s">
        <v>137</v>
      </c>
      <c r="J17" s="25" t="s">
        <v>170</v>
      </c>
      <c r="K17" s="25">
        <f> 7850*1*0.06*0.008*2</f>
        <v>7.536</v>
      </c>
      <c r="L17" s="45" t="s">
        <v>112</v>
      </c>
      <c r="M17" s="25" t="s">
        <v>70</v>
      </c>
    </row>
    <row r="18" ht="15.75" customHeight="1">
      <c r="A18" s="31"/>
      <c r="B18" s="36"/>
      <c r="C18" s="27" t="s">
        <v>171</v>
      </c>
      <c r="D18" s="27" t="s">
        <v>172</v>
      </c>
      <c r="E18" s="27"/>
      <c r="F18" s="27" t="s">
        <v>173</v>
      </c>
      <c r="G18" s="27"/>
      <c r="H18" s="27" t="s">
        <v>174</v>
      </c>
      <c r="I18" s="27"/>
      <c r="J18" s="27"/>
      <c r="K18" s="27"/>
      <c r="L18" s="27"/>
      <c r="M18" s="27" t="s">
        <v>175</v>
      </c>
    </row>
    <row r="19" ht="15.75" customHeight="1">
      <c r="A19" s="31"/>
      <c r="B19" s="47" t="s">
        <v>176</v>
      </c>
      <c r="C19" s="25" t="s">
        <v>177</v>
      </c>
      <c r="D19" s="25" t="s">
        <v>178</v>
      </c>
      <c r="E19" s="25" t="s">
        <v>47</v>
      </c>
      <c r="F19" s="25" t="s">
        <v>179</v>
      </c>
      <c r="G19" s="25" t="s">
        <v>180</v>
      </c>
      <c r="H19" s="25"/>
      <c r="I19" s="25"/>
      <c r="J19" s="25" t="s">
        <v>181</v>
      </c>
      <c r="K19" s="48" t="s">
        <v>121</v>
      </c>
      <c r="L19" s="25" t="s">
        <v>112</v>
      </c>
      <c r="M19" s="25" t="s">
        <v>70</v>
      </c>
    </row>
    <row r="20" ht="15.75" customHeight="1">
      <c r="A20" s="31"/>
      <c r="B20" s="47"/>
      <c r="C20" s="25"/>
      <c r="D20" s="25"/>
      <c r="E20" s="25" t="s">
        <v>85</v>
      </c>
      <c r="F20" s="25"/>
      <c r="G20" s="25"/>
      <c r="H20" s="25"/>
      <c r="I20" s="25"/>
      <c r="J20" s="42" t="s">
        <v>139</v>
      </c>
      <c r="K20" s="42" t="s">
        <v>139</v>
      </c>
      <c r="L20" s="25" t="s">
        <v>112</v>
      </c>
      <c r="M20" s="25" t="s">
        <v>90</v>
      </c>
    </row>
    <row r="21" ht="15.75" customHeight="1">
      <c r="A21" s="31"/>
      <c r="B21" s="47"/>
      <c r="C21" s="25"/>
      <c r="D21" s="25"/>
      <c r="E21" s="25" t="s">
        <v>50</v>
      </c>
      <c r="F21" s="25"/>
      <c r="G21" s="25"/>
      <c r="H21" s="25"/>
      <c r="I21" s="25"/>
      <c r="J21" s="49" t="s">
        <v>182</v>
      </c>
      <c r="K21" s="48" t="s">
        <v>121</v>
      </c>
      <c r="L21" s="25" t="s">
        <v>129</v>
      </c>
      <c r="M21" s="25" t="s">
        <v>51</v>
      </c>
    </row>
    <row r="22" ht="15.75" customHeight="1">
      <c r="A22" s="31"/>
      <c r="B22" s="47"/>
      <c r="C22" s="27" t="s">
        <v>183</v>
      </c>
      <c r="D22" s="27" t="s">
        <v>184</v>
      </c>
      <c r="E22" s="27" t="s">
        <v>133</v>
      </c>
      <c r="F22" s="27" t="s">
        <v>185</v>
      </c>
      <c r="G22" s="27" t="s">
        <v>186</v>
      </c>
      <c r="H22" s="27" t="s">
        <v>187</v>
      </c>
      <c r="I22" s="27" t="s">
        <v>188</v>
      </c>
      <c r="J22" s="29" t="s">
        <v>189</v>
      </c>
      <c r="K22" s="44" t="s">
        <v>121</v>
      </c>
      <c r="L22" s="27" t="s">
        <v>112</v>
      </c>
      <c r="M22" s="27" t="s">
        <v>64</v>
      </c>
    </row>
    <row r="23" ht="15.75" customHeight="1">
      <c r="A23" s="31"/>
      <c r="B23" s="32"/>
      <c r="C23" s="27"/>
      <c r="D23" s="27"/>
      <c r="E23" s="27" t="s">
        <v>27</v>
      </c>
      <c r="F23" s="39" t="s">
        <v>139</v>
      </c>
      <c r="G23" s="27"/>
      <c r="H23" s="39" t="s">
        <v>139</v>
      </c>
      <c r="I23" s="39" t="s">
        <v>139</v>
      </c>
      <c r="J23" s="39" t="s">
        <v>139</v>
      </c>
      <c r="K23" s="39" t="s">
        <v>139</v>
      </c>
      <c r="L23" s="39" t="s">
        <v>139</v>
      </c>
      <c r="M23" s="50" t="s">
        <v>190</v>
      </c>
    </row>
    <row r="24" ht="15.75" customHeight="1">
      <c r="A24" s="31"/>
      <c r="B24" s="32"/>
      <c r="C24" s="27"/>
      <c r="D24" s="27"/>
      <c r="E24" s="27" t="s">
        <v>50</v>
      </c>
      <c r="F24" s="51" t="s">
        <v>191</v>
      </c>
      <c r="G24" s="27"/>
      <c r="H24" s="39"/>
      <c r="I24" s="39"/>
      <c r="J24" s="51" t="s">
        <v>192</v>
      </c>
      <c r="K24" s="37" t="s">
        <v>121</v>
      </c>
      <c r="L24" s="51" t="s">
        <v>129</v>
      </c>
      <c r="M24" s="27" t="s">
        <v>51</v>
      </c>
    </row>
    <row r="25" ht="15.75" customHeight="1">
      <c r="A25" s="31"/>
      <c r="B25" s="32"/>
      <c r="C25" s="25" t="s">
        <v>193</v>
      </c>
      <c r="D25" s="25" t="s">
        <v>194</v>
      </c>
      <c r="E25" s="25" t="s">
        <v>159</v>
      </c>
      <c r="F25" s="49" t="s">
        <v>195</v>
      </c>
      <c r="G25" s="25"/>
      <c r="H25" s="49" t="s">
        <v>196</v>
      </c>
      <c r="I25" s="49" t="s">
        <v>197</v>
      </c>
      <c r="J25" s="49" t="s">
        <v>198</v>
      </c>
      <c r="K25" s="48">
        <f> 1.2 * 9.42</f>
        <v>11.304</v>
      </c>
      <c r="L25" s="49" t="s">
        <v>112</v>
      </c>
      <c r="M25" s="25" t="s">
        <v>70</v>
      </c>
    </row>
    <row r="26" ht="15.75" customHeight="1">
      <c r="A26" s="31"/>
      <c r="B26" s="36" t="s">
        <v>199</v>
      </c>
      <c r="C26" s="27" t="s">
        <v>200</v>
      </c>
      <c r="D26" s="27" t="s">
        <v>201</v>
      </c>
      <c r="E26" s="27" t="s">
        <v>202</v>
      </c>
      <c r="F26" s="27" t="s">
        <v>203</v>
      </c>
      <c r="G26" s="27" t="s">
        <v>204</v>
      </c>
      <c r="H26" s="27" t="s">
        <v>205</v>
      </c>
      <c r="I26" s="27" t="s">
        <v>206</v>
      </c>
      <c r="J26" s="27" t="s">
        <v>207</v>
      </c>
      <c r="K26" s="37" t="s">
        <v>121</v>
      </c>
      <c r="L26" s="27" t="s">
        <v>112</v>
      </c>
      <c r="M26" s="27" t="s">
        <v>23</v>
      </c>
    </row>
    <row r="27" ht="15.75" customHeight="1">
      <c r="A27" s="31"/>
      <c r="B27" s="38"/>
      <c r="C27" s="27"/>
      <c r="D27" s="27"/>
      <c r="E27" s="27" t="s">
        <v>27</v>
      </c>
      <c r="F27" s="39" t="s">
        <v>139</v>
      </c>
      <c r="G27" s="27"/>
      <c r="H27" s="39" t="s">
        <v>139</v>
      </c>
      <c r="I27" s="39" t="s">
        <v>139</v>
      </c>
      <c r="J27" s="39" t="s">
        <v>139</v>
      </c>
      <c r="K27" s="39" t="s">
        <v>139</v>
      </c>
      <c r="L27" s="39" t="s">
        <v>139</v>
      </c>
      <c r="M27" s="27" t="s">
        <v>28</v>
      </c>
    </row>
    <row r="28" ht="15.75" customHeight="1">
      <c r="A28" s="31"/>
      <c r="B28" s="38"/>
      <c r="C28" s="25" t="s">
        <v>208</v>
      </c>
      <c r="D28" s="25" t="s">
        <v>209</v>
      </c>
      <c r="E28" s="25" t="s">
        <v>210</v>
      </c>
      <c r="F28" s="25" t="s">
        <v>211</v>
      </c>
      <c r="G28" s="25"/>
      <c r="H28" s="25" t="s">
        <v>212</v>
      </c>
      <c r="I28" s="25" t="s">
        <v>213</v>
      </c>
      <c r="J28" s="25"/>
      <c r="K28" s="25"/>
      <c r="L28" s="25"/>
      <c r="M28" s="25" t="s">
        <v>214</v>
      </c>
    </row>
    <row r="29" ht="15.75" customHeight="1">
      <c r="A29" s="31"/>
      <c r="B29" s="36"/>
      <c r="C29" s="25"/>
      <c r="D29" s="25"/>
      <c r="E29" s="25" t="s">
        <v>215</v>
      </c>
      <c r="F29" s="25"/>
      <c r="G29" s="25"/>
      <c r="H29" s="42" t="s">
        <v>139</v>
      </c>
      <c r="I29" s="42" t="s">
        <v>139</v>
      </c>
      <c r="J29" s="42" t="s">
        <v>139</v>
      </c>
      <c r="K29" s="42" t="s">
        <v>139</v>
      </c>
      <c r="L29" s="42" t="s">
        <v>139</v>
      </c>
      <c r="M29" s="25" t="s">
        <v>216</v>
      </c>
    </row>
    <row r="30" ht="15.75" customHeight="1">
      <c r="A30" s="31"/>
      <c r="B30" s="36"/>
      <c r="C30" s="25"/>
      <c r="D30" s="25"/>
      <c r="E30" s="25" t="s">
        <v>217</v>
      </c>
      <c r="F30" s="25"/>
      <c r="G30" s="25"/>
      <c r="H30" s="25"/>
      <c r="I30" s="25"/>
      <c r="J30" s="25"/>
      <c r="K30" s="52">
        <v>2.12E-11</v>
      </c>
      <c r="L30" s="25" t="s">
        <v>218</v>
      </c>
      <c r="M30" s="25" t="s">
        <v>219</v>
      </c>
    </row>
    <row r="31" ht="15.75" customHeight="1">
      <c r="A31" s="53"/>
      <c r="B31" s="54"/>
      <c r="C31" s="55"/>
      <c r="D31" s="55"/>
      <c r="E31" s="55" t="s">
        <v>220</v>
      </c>
      <c r="F31" s="55"/>
      <c r="G31" s="55"/>
      <c r="H31" s="55"/>
      <c r="I31" s="55"/>
      <c r="J31" s="55"/>
      <c r="K31" s="56" t="s">
        <v>221</v>
      </c>
      <c r="L31" s="55" t="s">
        <v>112</v>
      </c>
      <c r="M31" s="55" t="s">
        <v>222</v>
      </c>
    </row>
    <row r="32" ht="15.75" customHeight="1">
      <c r="A32" s="57"/>
      <c r="B32" s="57"/>
      <c r="C32" s="57"/>
      <c r="D32" s="57"/>
      <c r="E32" s="57"/>
      <c r="F32" s="57"/>
      <c r="G32" s="57"/>
      <c r="H32" s="57"/>
      <c r="I32" s="57"/>
      <c r="J32" s="57"/>
      <c r="K32" s="57"/>
      <c r="L32" s="57"/>
      <c r="M32" s="57"/>
    </row>
    <row r="33" ht="15.75" customHeight="1">
      <c r="A33" s="57"/>
      <c r="B33" s="57"/>
      <c r="C33" s="57"/>
      <c r="D33" s="57"/>
      <c r="E33" s="57"/>
      <c r="F33" s="57"/>
      <c r="G33" s="57"/>
      <c r="H33" s="57"/>
      <c r="I33" s="57"/>
      <c r="J33" s="57"/>
      <c r="K33" s="57"/>
      <c r="L33" s="57"/>
      <c r="M33" s="57"/>
    </row>
    <row r="34" ht="15.75" customHeight="1">
      <c r="A34" s="57"/>
      <c r="B34" s="57"/>
      <c r="C34" s="57"/>
      <c r="D34" s="57"/>
      <c r="E34" s="57"/>
      <c r="F34" s="57"/>
      <c r="G34" s="57"/>
      <c r="H34" s="57"/>
      <c r="I34" s="57"/>
      <c r="J34" s="57"/>
      <c r="K34" s="57"/>
      <c r="L34" s="57"/>
      <c r="M34" s="57"/>
    </row>
    <row r="35" ht="15.75" customHeight="1">
      <c r="A35" s="57"/>
      <c r="B35" s="57"/>
      <c r="C35" s="57"/>
      <c r="D35" s="57"/>
      <c r="E35" s="57"/>
      <c r="F35" s="57"/>
      <c r="G35" s="57"/>
      <c r="H35" s="57"/>
      <c r="I35" s="57"/>
      <c r="J35" s="57"/>
      <c r="K35" s="57"/>
      <c r="L35" s="57"/>
      <c r="M35" s="57"/>
    </row>
    <row r="36" ht="15.75" customHeight="1">
      <c r="A36" s="57"/>
      <c r="B36" s="57"/>
      <c r="C36" s="57"/>
      <c r="D36" s="57"/>
      <c r="E36" s="57"/>
      <c r="F36" s="57"/>
      <c r="G36" s="57"/>
      <c r="H36" s="57"/>
      <c r="I36" s="57"/>
      <c r="J36" s="57"/>
      <c r="K36" s="57"/>
      <c r="L36" s="57"/>
      <c r="M36" s="57"/>
    </row>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sheetData>
  <conditionalFormatting sqref="F5">
    <cfRule type="colorScale" priority="1">
      <colorScale>
        <cfvo type="min"/>
        <cfvo type="max"/>
        <color rgb="FFFFFFFF"/>
        <color rgb="FF57BB8A"/>
      </colorScale>
    </cfRule>
  </conditionalFormatting>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1" width="12.13"/>
    <col customWidth="1" min="2" max="5" width="12.63"/>
    <col customWidth="1" min="6" max="6" width="27.13"/>
    <col customWidth="1" min="7" max="7" width="40.38"/>
  </cols>
  <sheetData>
    <row r="1" ht="15.75" customHeight="1">
      <c r="A1" s="1" t="s">
        <v>99</v>
      </c>
      <c r="B1" s="2" t="s">
        <v>0</v>
      </c>
      <c r="C1" s="2" t="s">
        <v>1</v>
      </c>
      <c r="D1" s="2" t="s">
        <v>2</v>
      </c>
      <c r="E1" s="2" t="s">
        <v>3</v>
      </c>
      <c r="F1" s="2" t="s">
        <v>5</v>
      </c>
      <c r="G1" s="2" t="s">
        <v>4</v>
      </c>
    </row>
    <row r="2" ht="15.75" customHeight="1">
      <c r="A2" s="58" t="s">
        <v>223</v>
      </c>
      <c r="B2" s="59" t="s">
        <v>224</v>
      </c>
      <c r="C2" s="60" t="s">
        <v>225</v>
      </c>
      <c r="D2" s="60" t="s">
        <v>226</v>
      </c>
      <c r="E2" s="60" t="s">
        <v>227</v>
      </c>
      <c r="F2" s="61" t="s">
        <v>228</v>
      </c>
      <c r="G2" s="60" t="s">
        <v>229</v>
      </c>
    </row>
    <row r="3" ht="15.75" customHeight="1">
      <c r="A3" s="62"/>
      <c r="B3" s="63" t="s">
        <v>230</v>
      </c>
      <c r="C3" s="64" t="s">
        <v>231</v>
      </c>
      <c r="D3" s="64" t="s">
        <v>232</v>
      </c>
      <c r="E3" s="64" t="s">
        <v>233</v>
      </c>
      <c r="F3" s="64" t="s">
        <v>234</v>
      </c>
      <c r="G3" s="64" t="s">
        <v>235</v>
      </c>
    </row>
    <row r="4" ht="15.75" customHeight="1">
      <c r="A4" s="62"/>
      <c r="B4" s="59" t="s">
        <v>236</v>
      </c>
      <c r="C4" s="60" t="s">
        <v>237</v>
      </c>
      <c r="D4" s="60" t="s">
        <v>238</v>
      </c>
      <c r="E4" s="60" t="s">
        <v>239</v>
      </c>
      <c r="F4" s="61" t="s">
        <v>240</v>
      </c>
      <c r="G4" s="60" t="s">
        <v>241</v>
      </c>
    </row>
    <row r="5" ht="15.75" customHeight="1">
      <c r="A5" s="62"/>
      <c r="B5" s="63" t="s">
        <v>242</v>
      </c>
      <c r="C5" s="64" t="s">
        <v>243</v>
      </c>
      <c r="D5" s="64" t="s">
        <v>244</v>
      </c>
      <c r="E5" s="64" t="s">
        <v>245</v>
      </c>
      <c r="F5" s="64"/>
      <c r="G5" s="64" t="s">
        <v>246</v>
      </c>
    </row>
    <row r="6" ht="15.75" customHeight="1">
      <c r="A6" s="62"/>
      <c r="B6" s="63" t="s">
        <v>247</v>
      </c>
      <c r="C6" s="65"/>
      <c r="D6" s="64"/>
      <c r="E6" s="64" t="s">
        <v>248</v>
      </c>
      <c r="F6" s="64"/>
      <c r="G6" s="64" t="s">
        <v>249</v>
      </c>
    </row>
    <row r="7" ht="15.75" customHeight="1">
      <c r="A7" s="62"/>
      <c r="B7" s="63" t="s">
        <v>250</v>
      </c>
      <c r="C7" s="65"/>
      <c r="D7" s="64"/>
      <c r="E7" s="64" t="s">
        <v>251</v>
      </c>
      <c r="F7" s="64"/>
      <c r="G7" s="64" t="s">
        <v>252</v>
      </c>
    </row>
    <row r="8" ht="15.75" customHeight="1">
      <c r="A8" s="62"/>
      <c r="B8" s="66"/>
      <c r="C8" s="65"/>
      <c r="D8" s="64"/>
      <c r="E8" s="64" t="s">
        <v>253</v>
      </c>
      <c r="F8" s="64"/>
      <c r="G8" s="64" t="s">
        <v>254</v>
      </c>
    </row>
    <row r="9" ht="15.75" customHeight="1">
      <c r="A9" s="62"/>
      <c r="B9" s="66"/>
      <c r="C9" s="65"/>
      <c r="D9" s="64"/>
      <c r="E9" s="64" t="s">
        <v>255</v>
      </c>
      <c r="F9" s="64"/>
      <c r="G9" s="64" t="s">
        <v>256</v>
      </c>
    </row>
    <row r="10" ht="15.75" customHeight="1">
      <c r="A10" s="62"/>
      <c r="B10" s="66"/>
      <c r="C10" s="65"/>
      <c r="D10" s="64"/>
      <c r="E10" s="64" t="s">
        <v>257</v>
      </c>
      <c r="F10" s="64"/>
      <c r="G10" s="64" t="s">
        <v>258</v>
      </c>
    </row>
    <row r="11" ht="15.75" customHeight="1">
      <c r="A11" s="62"/>
      <c r="B11" s="66"/>
      <c r="C11" s="65"/>
      <c r="D11" s="64"/>
      <c r="E11" s="64" t="s">
        <v>259</v>
      </c>
      <c r="F11" s="64"/>
      <c r="G11" s="64" t="s">
        <v>260</v>
      </c>
    </row>
    <row r="12" ht="15.75" customHeight="1">
      <c r="A12" s="62"/>
      <c r="B12" s="66"/>
      <c r="C12" s="60" t="s">
        <v>261</v>
      </c>
      <c r="D12" s="60" t="s">
        <v>261</v>
      </c>
      <c r="E12" s="60" t="s">
        <v>261</v>
      </c>
      <c r="F12" s="60"/>
      <c r="G12" s="60" t="s">
        <v>262</v>
      </c>
    </row>
    <row r="13" ht="15.75" customHeight="1">
      <c r="A13" s="62"/>
      <c r="B13" s="66"/>
      <c r="C13" s="67"/>
      <c r="D13" s="60"/>
      <c r="E13" s="60" t="s">
        <v>263</v>
      </c>
      <c r="F13" s="60"/>
      <c r="G13" s="60" t="s">
        <v>264</v>
      </c>
    </row>
    <row r="14" ht="15.75" customHeight="1">
      <c r="A14" s="62"/>
      <c r="B14" s="66"/>
      <c r="C14" s="64" t="s">
        <v>265</v>
      </c>
      <c r="D14" s="64" t="s">
        <v>266</v>
      </c>
      <c r="E14" s="64" t="s">
        <v>267</v>
      </c>
      <c r="F14" s="64"/>
      <c r="G14" s="64" t="s">
        <v>268</v>
      </c>
    </row>
    <row r="15" ht="15.75" customHeight="1">
      <c r="A15" s="62"/>
      <c r="B15" s="66"/>
      <c r="C15" s="65"/>
      <c r="D15" s="64"/>
      <c r="E15" s="64" t="s">
        <v>269</v>
      </c>
      <c r="F15" s="64"/>
      <c r="G15" s="64" t="s">
        <v>270</v>
      </c>
    </row>
    <row r="16" ht="15.75" customHeight="1">
      <c r="A16" s="62"/>
      <c r="B16" s="66"/>
      <c r="C16" s="65"/>
      <c r="D16" s="64"/>
      <c r="E16" s="64" t="s">
        <v>271</v>
      </c>
      <c r="F16" s="64"/>
      <c r="G16" s="64" t="s">
        <v>272</v>
      </c>
    </row>
    <row r="17" ht="15.75" customHeight="1">
      <c r="A17" s="62"/>
      <c r="B17" s="66"/>
      <c r="C17" s="65"/>
      <c r="D17" s="64"/>
      <c r="E17" s="64" t="s">
        <v>273</v>
      </c>
      <c r="F17" s="64"/>
      <c r="G17" s="64" t="s">
        <v>274</v>
      </c>
    </row>
    <row r="18" ht="15.75" customHeight="1">
      <c r="A18" s="62"/>
      <c r="B18" s="66"/>
      <c r="C18" s="60" t="s">
        <v>275</v>
      </c>
      <c r="D18" s="60" t="s">
        <v>276</v>
      </c>
      <c r="E18" s="60" t="s">
        <v>277</v>
      </c>
      <c r="F18" s="60"/>
      <c r="G18" s="60" t="s">
        <v>278</v>
      </c>
    </row>
    <row r="19" ht="15.75" customHeight="1">
      <c r="A19" s="62"/>
      <c r="B19" s="66"/>
      <c r="C19" s="67"/>
      <c r="D19" s="60"/>
      <c r="E19" s="60" t="s">
        <v>279</v>
      </c>
      <c r="F19" s="60"/>
      <c r="G19" s="60" t="s">
        <v>280</v>
      </c>
    </row>
    <row r="20" ht="15.75" customHeight="1">
      <c r="A20" s="62"/>
      <c r="B20" s="66"/>
      <c r="C20" s="64" t="s">
        <v>281</v>
      </c>
      <c r="D20" s="64" t="s">
        <v>282</v>
      </c>
      <c r="E20" s="64" t="s">
        <v>283</v>
      </c>
      <c r="F20" s="64"/>
      <c r="G20" s="64" t="s">
        <v>284</v>
      </c>
    </row>
    <row r="21" ht="15.75" customHeight="1">
      <c r="A21" s="62"/>
      <c r="B21" s="66"/>
      <c r="C21" s="60" t="s">
        <v>285</v>
      </c>
      <c r="D21" s="60" t="s">
        <v>286</v>
      </c>
      <c r="E21" s="60" t="s">
        <v>285</v>
      </c>
      <c r="F21" s="60"/>
      <c r="G21" s="60" t="s">
        <v>287</v>
      </c>
    </row>
    <row r="22" ht="15.75" customHeight="1">
      <c r="A22" s="62"/>
      <c r="B22" s="66"/>
      <c r="C22" s="67"/>
      <c r="D22" s="60"/>
      <c r="E22" s="60" t="s">
        <v>288</v>
      </c>
      <c r="F22" s="60"/>
      <c r="G22" s="60" t="s">
        <v>289</v>
      </c>
    </row>
    <row r="23" ht="15.75" customHeight="1">
      <c r="A23" s="62"/>
      <c r="B23" s="66"/>
      <c r="C23" s="67"/>
      <c r="D23" s="60"/>
      <c r="E23" s="60" t="s">
        <v>290</v>
      </c>
      <c r="F23" s="60"/>
      <c r="G23" s="60" t="s">
        <v>291</v>
      </c>
    </row>
    <row r="24" ht="15.75" customHeight="1">
      <c r="A24" s="62"/>
      <c r="B24" s="59" t="s">
        <v>292</v>
      </c>
      <c r="C24" s="64" t="s">
        <v>292</v>
      </c>
      <c r="D24" s="64" t="s">
        <v>293</v>
      </c>
      <c r="E24" s="64" t="s">
        <v>294</v>
      </c>
      <c r="F24" s="68" t="s">
        <v>295</v>
      </c>
      <c r="G24" s="64" t="s">
        <v>296</v>
      </c>
    </row>
    <row r="25" ht="15.75" customHeight="1">
      <c r="A25" s="62"/>
      <c r="B25" s="69"/>
      <c r="C25" s="65"/>
      <c r="D25" s="64"/>
      <c r="E25" s="64" t="s">
        <v>297</v>
      </c>
      <c r="F25" s="64"/>
      <c r="G25" s="64" t="s">
        <v>23</v>
      </c>
    </row>
    <row r="26" ht="15.75" customHeight="1">
      <c r="A26" s="62"/>
      <c r="B26" s="69"/>
      <c r="C26" s="65"/>
      <c r="D26" s="64"/>
      <c r="E26" s="64" t="s">
        <v>298</v>
      </c>
      <c r="F26" s="64"/>
      <c r="G26" s="64" t="s">
        <v>299</v>
      </c>
    </row>
    <row r="27" ht="15.75" customHeight="1">
      <c r="A27" s="62"/>
      <c r="B27" s="69"/>
      <c r="C27" s="60" t="s">
        <v>300</v>
      </c>
      <c r="D27" s="60" t="s">
        <v>301</v>
      </c>
      <c r="E27" s="60" t="s">
        <v>302</v>
      </c>
      <c r="F27" s="61" t="s">
        <v>303</v>
      </c>
      <c r="G27" s="60" t="s">
        <v>304</v>
      </c>
    </row>
    <row r="28" ht="15.75" customHeight="1">
      <c r="A28" s="62"/>
      <c r="B28" s="69"/>
      <c r="C28" s="67"/>
      <c r="D28" s="60"/>
      <c r="E28" s="60" t="s">
        <v>273</v>
      </c>
      <c r="F28" s="60"/>
      <c r="G28" s="60" t="s">
        <v>274</v>
      </c>
    </row>
    <row r="29" ht="15.75" customHeight="1">
      <c r="A29" s="62"/>
      <c r="B29" s="69"/>
      <c r="C29" s="67"/>
      <c r="D29" s="60"/>
      <c r="E29" s="60" t="s">
        <v>269</v>
      </c>
      <c r="F29" s="60"/>
      <c r="G29" s="60" t="s">
        <v>270</v>
      </c>
    </row>
    <row r="30" ht="15.75" customHeight="1">
      <c r="A30" s="62"/>
      <c r="B30" s="63" t="s">
        <v>305</v>
      </c>
      <c r="C30" s="64" t="s">
        <v>200</v>
      </c>
      <c r="D30" s="64" t="s">
        <v>201</v>
      </c>
      <c r="E30" s="64" t="s">
        <v>306</v>
      </c>
      <c r="F30" s="68" t="s">
        <v>307</v>
      </c>
      <c r="G30" s="64" t="s">
        <v>308</v>
      </c>
    </row>
    <row r="31" ht="15.75" customHeight="1">
      <c r="A31" s="62"/>
      <c r="B31" s="66"/>
      <c r="C31" s="65"/>
      <c r="D31" s="64"/>
      <c r="E31" s="64" t="s">
        <v>309</v>
      </c>
      <c r="F31" s="64"/>
      <c r="G31" s="64" t="s">
        <v>308</v>
      </c>
    </row>
    <row r="32" ht="15.75" customHeight="1">
      <c r="A32" s="62"/>
      <c r="B32" s="59" t="s">
        <v>310</v>
      </c>
      <c r="C32" s="67"/>
      <c r="D32" s="60" t="s">
        <v>311</v>
      </c>
      <c r="E32" s="60" t="s">
        <v>312</v>
      </c>
      <c r="F32" s="61" t="s">
        <v>313</v>
      </c>
      <c r="G32" s="60" t="s">
        <v>289</v>
      </c>
    </row>
    <row r="33" ht="15.75" customHeight="1">
      <c r="A33" s="62"/>
      <c r="B33" s="63" t="s">
        <v>314</v>
      </c>
      <c r="C33" s="64" t="s">
        <v>315</v>
      </c>
      <c r="D33" s="65" t="s">
        <v>316</v>
      </c>
      <c r="E33" s="65"/>
      <c r="F33" s="65"/>
      <c r="G33" s="64" t="s">
        <v>317</v>
      </c>
    </row>
    <row r="34" ht="15.75" customHeight="1">
      <c r="A34" s="62"/>
      <c r="B34" s="66"/>
      <c r="C34" s="64" t="s">
        <v>318</v>
      </c>
      <c r="D34" s="65" t="s">
        <v>319</v>
      </c>
      <c r="E34" s="65"/>
      <c r="F34" s="65"/>
      <c r="G34" s="64" t="s">
        <v>320</v>
      </c>
    </row>
    <row r="35" ht="15.75" customHeight="1">
      <c r="A35" s="62"/>
      <c r="B35" s="66"/>
      <c r="C35" s="64" t="s">
        <v>321</v>
      </c>
      <c r="D35" s="65" t="s">
        <v>321</v>
      </c>
      <c r="E35" s="65"/>
      <c r="F35" s="65"/>
      <c r="G35" s="64" t="s">
        <v>322</v>
      </c>
    </row>
    <row r="36" ht="15.75" customHeight="1">
      <c r="A36" s="62"/>
      <c r="B36" s="66"/>
      <c r="C36" s="64" t="s">
        <v>323</v>
      </c>
      <c r="D36" s="65" t="s">
        <v>324</v>
      </c>
      <c r="E36" s="65"/>
      <c r="F36" s="65"/>
      <c r="G36" s="64" t="s">
        <v>325</v>
      </c>
    </row>
    <row r="37" ht="15.75" customHeight="1">
      <c r="A37" s="62"/>
      <c r="B37" s="70"/>
      <c r="C37" s="71" t="s">
        <v>326</v>
      </c>
      <c r="D37" s="72" t="s">
        <v>327</v>
      </c>
      <c r="E37" s="72"/>
      <c r="F37" s="72"/>
      <c r="G37" s="71" t="s">
        <v>328</v>
      </c>
    </row>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5" width="12.63"/>
  </cols>
  <sheetData>
    <row r="1" ht="15.75" customHeight="1">
      <c r="A1" s="73" t="s">
        <v>329</v>
      </c>
      <c r="B1" s="73" t="s">
        <v>330</v>
      </c>
      <c r="C1" s="73" t="s">
        <v>331</v>
      </c>
      <c r="D1" s="73" t="s">
        <v>332</v>
      </c>
      <c r="E1" s="73" t="s">
        <v>333</v>
      </c>
      <c r="F1" s="73" t="s">
        <v>334</v>
      </c>
      <c r="G1" s="73" t="s">
        <v>335</v>
      </c>
      <c r="H1" s="73" t="s">
        <v>336</v>
      </c>
      <c r="I1" s="73" t="s">
        <v>337</v>
      </c>
      <c r="J1" s="73" t="s">
        <v>338</v>
      </c>
    </row>
    <row r="2" ht="15.75" customHeight="1">
      <c r="A2" s="73">
        <v>12.0</v>
      </c>
      <c r="B2" s="73">
        <v>2.0</v>
      </c>
      <c r="C2" s="73">
        <f>1.2/50*6</f>
        <v>0.144</v>
      </c>
      <c r="D2" s="73">
        <f>33.3/1000*6</f>
        <v>0.1998</v>
      </c>
      <c r="E2" s="73">
        <f>1.01*5</f>
        <v>5.05</v>
      </c>
      <c r="F2" s="73">
        <f>0.1*24</f>
        <v>2.4</v>
      </c>
      <c r="G2" s="73">
        <f>8/100*54</f>
        <v>4.32</v>
      </c>
      <c r="H2" s="73">
        <f>0.008*10</f>
        <v>0.08</v>
      </c>
      <c r="I2" s="73">
        <f t="shared" ref="I2:I4" si="1">C2+D2+E2+F2+G2+H2</f>
        <v>12.1938</v>
      </c>
      <c r="J2" s="73">
        <f t="shared" ref="J2:J4" si="2">I2*60/1000</f>
        <v>0.731628</v>
      </c>
    </row>
    <row r="3" ht="15.75" customHeight="1">
      <c r="A3" s="73">
        <v>18.0</v>
      </c>
      <c r="B3" s="73">
        <v>2.8</v>
      </c>
      <c r="C3" s="73">
        <f t="shared" ref="C3:C4" si="3">2.9/50*6</f>
        <v>0.348</v>
      </c>
      <c r="D3" s="73">
        <f t="shared" ref="D3:D4" si="4">64.4/1000*6</f>
        <v>0.3864</v>
      </c>
      <c r="E3" s="73">
        <f>1.33*5</f>
        <v>6.65</v>
      </c>
      <c r="F3" s="73">
        <f>19*0.19+5*0.14</f>
        <v>4.31</v>
      </c>
      <c r="G3" s="73">
        <f>8/100*78</f>
        <v>6.24</v>
      </c>
      <c r="H3" s="73">
        <f>0.008*21</f>
        <v>0.168</v>
      </c>
      <c r="I3" s="73">
        <f t="shared" si="1"/>
        <v>18.1024</v>
      </c>
      <c r="J3" s="73">
        <f t="shared" si="2"/>
        <v>1.086144</v>
      </c>
    </row>
    <row r="4" ht="15.75" customHeight="1">
      <c r="A4" s="73">
        <v>24.0</v>
      </c>
      <c r="B4" s="73">
        <v>3.36</v>
      </c>
      <c r="C4" s="73">
        <f t="shared" si="3"/>
        <v>0.348</v>
      </c>
      <c r="D4" s="73">
        <f t="shared" si="4"/>
        <v>0.3864</v>
      </c>
      <c r="E4" s="73">
        <f>5*1.81</f>
        <v>9.05</v>
      </c>
      <c r="F4" s="73">
        <f>24*0.19</f>
        <v>4.56</v>
      </c>
      <c r="G4" s="73">
        <f>8/100*108</f>
        <v>8.64</v>
      </c>
      <c r="H4" s="73">
        <f> 0.008*31</f>
        <v>0.248</v>
      </c>
      <c r="I4" s="73">
        <f t="shared" si="1"/>
        <v>23.2324</v>
      </c>
      <c r="J4" s="73">
        <f t="shared" si="2"/>
        <v>1.393944</v>
      </c>
    </row>
    <row r="5" ht="15.75" customHeight="1"/>
    <row r="6" ht="15.75" customHeight="1">
      <c r="A6" s="73"/>
      <c r="B6" s="73"/>
    </row>
    <row r="7" ht="15.75" customHeight="1"/>
    <row r="8" ht="15.75" customHeight="1">
      <c r="A8" s="73"/>
      <c r="B8" s="73"/>
      <c r="C8" s="73"/>
    </row>
    <row r="9" ht="15.75" customHeight="1">
      <c r="A9" s="73"/>
      <c r="B9" s="73"/>
      <c r="C9" s="73"/>
    </row>
    <row r="10" ht="15.75" customHeight="1">
      <c r="A10" s="73"/>
      <c r="B10" s="73"/>
      <c r="C10" s="73"/>
    </row>
    <row r="11" ht="15.75" customHeight="1">
      <c r="A11" s="73"/>
      <c r="B11" s="73"/>
      <c r="C11" s="73"/>
    </row>
    <row r="12" ht="15.75" customHeight="1">
      <c r="A12" s="73"/>
      <c r="B12" s="73"/>
      <c r="C12" s="73"/>
    </row>
    <row r="13" ht="15.75" customHeight="1"/>
    <row r="14" ht="15.75" customHeight="1"/>
    <row r="15" ht="15.75" customHeight="1">
      <c r="B15" s="73"/>
      <c r="C15" s="73"/>
    </row>
    <row r="16" ht="15.75" customHeight="1">
      <c r="A16" s="73"/>
    </row>
    <row r="17" ht="15.75" customHeight="1">
      <c r="A17" s="73"/>
    </row>
    <row r="18" ht="15.75" customHeight="1">
      <c r="A18" s="73"/>
    </row>
    <row r="19" ht="15.75" customHeight="1"/>
    <row r="20" ht="15.75" customHeight="1"/>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1" max="2" width="12.63"/>
    <col customWidth="1" min="3" max="3" width="21.63"/>
    <col customWidth="1" min="4" max="4" width="22.38"/>
    <col customWidth="1" min="5" max="5" width="22.25"/>
    <col customWidth="1" min="6" max="6" width="12.63"/>
  </cols>
  <sheetData>
    <row r="1" ht="15.75" customHeight="1">
      <c r="A1" s="74" t="s">
        <v>339</v>
      </c>
      <c r="B1" s="74" t="s">
        <v>340</v>
      </c>
      <c r="C1" s="74" t="s">
        <v>341</v>
      </c>
      <c r="D1" s="74" t="s">
        <v>342</v>
      </c>
      <c r="E1" s="74" t="s">
        <v>343</v>
      </c>
      <c r="F1" s="74" t="s">
        <v>344</v>
      </c>
      <c r="H1" s="73" t="s">
        <v>345</v>
      </c>
      <c r="I1" s="73">
        <v>7850.0</v>
      </c>
    </row>
    <row r="2" ht="15.75" customHeight="1">
      <c r="A2" s="75"/>
      <c r="B2" s="76"/>
      <c r="C2" s="76"/>
      <c r="D2" s="76"/>
      <c r="E2" s="76"/>
      <c r="F2" s="76"/>
    </row>
    <row r="3" ht="15.75" customHeight="1">
      <c r="A3" s="75" t="s">
        <v>346</v>
      </c>
      <c r="B3" s="75" t="s">
        <v>347</v>
      </c>
      <c r="C3" s="77" t="s">
        <v>347</v>
      </c>
      <c r="D3" s="77" t="s">
        <v>347</v>
      </c>
      <c r="E3" s="75" t="s">
        <v>348</v>
      </c>
      <c r="F3" s="75" t="s">
        <v>348</v>
      </c>
    </row>
    <row r="4" ht="15.75" customHeight="1">
      <c r="A4" s="77" t="s">
        <v>349</v>
      </c>
      <c r="B4" s="75">
        <f t="shared" ref="B4:D4" si="1">PI()*0.012^2/4*1.5*$I$1</f>
        <v>1.331721126</v>
      </c>
      <c r="C4" s="75">
        <f t="shared" si="1"/>
        <v>1.331721126</v>
      </c>
      <c r="D4" s="75">
        <f t="shared" si="1"/>
        <v>1.331721126</v>
      </c>
      <c r="E4" s="75">
        <f t="shared" ref="E4:F4" si="2">PI()*0.014^2/4*2*$I$1</f>
        <v>2.416827228</v>
      </c>
      <c r="F4" s="75">
        <f t="shared" si="2"/>
        <v>2.416827228</v>
      </c>
    </row>
    <row r="5" ht="15.75" customHeight="1">
      <c r="A5" s="75" t="s">
        <v>350</v>
      </c>
      <c r="B5" s="76">
        <v>48.0</v>
      </c>
      <c r="C5" s="76">
        <v>48.0</v>
      </c>
      <c r="D5" s="76">
        <v>48.0</v>
      </c>
      <c r="E5" s="78">
        <v>60.0</v>
      </c>
      <c r="F5" s="78">
        <v>60.0</v>
      </c>
    </row>
    <row r="6" ht="15.75" customHeight="1">
      <c r="A6" s="77" t="s">
        <v>349</v>
      </c>
      <c r="B6" s="76">
        <f t="shared" ref="B6:D6" si="3">0.0173*B5</f>
        <v>0.8304</v>
      </c>
      <c r="C6" s="76">
        <f t="shared" si="3"/>
        <v>0.8304</v>
      </c>
      <c r="D6" s="76">
        <f t="shared" si="3"/>
        <v>0.8304</v>
      </c>
      <c r="E6" s="76">
        <f t="shared" ref="E6:F6" si="4">0.025*E5</f>
        <v>1.5</v>
      </c>
      <c r="F6" s="76">
        <f t="shared" si="4"/>
        <v>1.5</v>
      </c>
    </row>
    <row r="7" ht="15.75" customHeight="1">
      <c r="A7" s="75" t="s">
        <v>351</v>
      </c>
      <c r="B7" s="76">
        <v>12.0</v>
      </c>
      <c r="C7" s="76">
        <v>12.0</v>
      </c>
      <c r="D7" s="76">
        <v>12.0</v>
      </c>
      <c r="E7" s="76">
        <v>23.0</v>
      </c>
      <c r="F7" s="76">
        <v>23.0</v>
      </c>
    </row>
    <row r="8" ht="15.75" customHeight="1">
      <c r="A8" s="77" t="s">
        <v>349</v>
      </c>
      <c r="B8" s="76">
        <f t="shared" ref="B8:F8" si="5">0.01*B7</f>
        <v>0.12</v>
      </c>
      <c r="C8" s="76">
        <f t="shared" si="5"/>
        <v>0.12</v>
      </c>
      <c r="D8" s="76">
        <f t="shared" si="5"/>
        <v>0.12</v>
      </c>
      <c r="E8" s="76">
        <f t="shared" si="5"/>
        <v>0.23</v>
      </c>
      <c r="F8" s="76">
        <f t="shared" si="5"/>
        <v>0.23</v>
      </c>
    </row>
    <row r="9" ht="15.75" customHeight="1">
      <c r="A9" s="75" t="s">
        <v>352</v>
      </c>
      <c r="B9" s="75" t="s">
        <v>353</v>
      </c>
      <c r="C9" s="75" t="s">
        <v>354</v>
      </c>
      <c r="D9" s="75" t="s">
        <v>354</v>
      </c>
      <c r="E9" s="75" t="s">
        <v>355</v>
      </c>
      <c r="F9" s="75" t="s">
        <v>356</v>
      </c>
    </row>
    <row r="10" ht="15.75" customHeight="1">
      <c r="A10" s="75" t="s">
        <v>357</v>
      </c>
      <c r="B10" s="76">
        <v>42.0</v>
      </c>
      <c r="C10" s="76">
        <v>54.0</v>
      </c>
      <c r="D10" s="76">
        <v>66.0</v>
      </c>
      <c r="E10" s="76">
        <v>66.0</v>
      </c>
      <c r="F10" s="76">
        <v>78.0</v>
      </c>
    </row>
    <row r="11" ht="15.75" customHeight="1">
      <c r="A11" s="77" t="s">
        <v>349</v>
      </c>
      <c r="B11" s="76">
        <f>0.00472*B10</f>
        <v>0.19824</v>
      </c>
      <c r="C11" s="76">
        <f t="shared" ref="C11:D11" si="6">0.00575*C10</f>
        <v>0.3105</v>
      </c>
      <c r="D11" s="76">
        <f t="shared" si="6"/>
        <v>0.3795</v>
      </c>
      <c r="E11" s="76">
        <f>0.00679*E10</f>
        <v>0.44814</v>
      </c>
      <c r="F11" s="76">
        <f>0.00835*F10</f>
        <v>0.6513</v>
      </c>
    </row>
    <row r="12" ht="15.75" customHeight="1">
      <c r="A12" s="79" t="s">
        <v>358</v>
      </c>
      <c r="B12" s="80">
        <f t="shared" ref="B12:F12" si="7">SUM(B4,B6,B8,B11)</f>
        <v>2.480361126</v>
      </c>
      <c r="C12" s="80">
        <f t="shared" si="7"/>
        <v>2.592621126</v>
      </c>
      <c r="D12" s="80">
        <f t="shared" si="7"/>
        <v>2.661621126</v>
      </c>
      <c r="E12" s="80">
        <f t="shared" si="7"/>
        <v>4.594967228</v>
      </c>
      <c r="F12" s="80">
        <f t="shared" si="7"/>
        <v>4.798127228</v>
      </c>
    </row>
    <row r="13" ht="15.75" customHeight="1">
      <c r="A13" s="75"/>
      <c r="B13" s="75"/>
      <c r="C13" s="76"/>
      <c r="D13" s="75"/>
      <c r="E13" s="75"/>
      <c r="F13" s="75"/>
    </row>
    <row r="14" ht="15.75" customHeight="1">
      <c r="A14" s="75" t="s">
        <v>359</v>
      </c>
      <c r="B14" s="77" t="s">
        <v>360</v>
      </c>
      <c r="C14" s="77" t="s">
        <v>360</v>
      </c>
      <c r="D14" s="77" t="s">
        <v>360</v>
      </c>
      <c r="E14" s="77" t="s">
        <v>361</v>
      </c>
      <c r="F14" s="77" t="s">
        <v>361</v>
      </c>
    </row>
    <row r="15" ht="15.75" customHeight="1">
      <c r="A15" s="77" t="s">
        <v>349</v>
      </c>
      <c r="B15" s="77">
        <f t="shared" ref="B15:F15" si="8">PI()*0.012^2/4*0.04*4*$I$1</f>
        <v>0.1420502534</v>
      </c>
      <c r="C15" s="77">
        <f t="shared" si="8"/>
        <v>0.1420502534</v>
      </c>
      <c r="D15" s="77">
        <f t="shared" si="8"/>
        <v>0.1420502534</v>
      </c>
      <c r="E15" s="77">
        <f t="shared" si="8"/>
        <v>0.1420502534</v>
      </c>
      <c r="F15" s="77">
        <f t="shared" si="8"/>
        <v>0.1420502534</v>
      </c>
    </row>
    <row r="16" ht="15.75" customHeight="1">
      <c r="A16" s="75" t="s">
        <v>362</v>
      </c>
      <c r="B16" s="75" t="s">
        <v>363</v>
      </c>
      <c r="C16" s="75" t="s">
        <v>363</v>
      </c>
      <c r="D16" s="75" t="s">
        <v>363</v>
      </c>
      <c r="E16" s="75" t="s">
        <v>363</v>
      </c>
      <c r="F16" s="75" t="s">
        <v>363</v>
      </c>
    </row>
    <row r="17" ht="15.75" customHeight="1">
      <c r="A17" s="77" t="s">
        <v>349</v>
      </c>
      <c r="B17" s="75">
        <f t="shared" ref="B17:F17" si="9">PI()*0.006^2/4*0.03*4*$I$1</f>
        <v>0.02663442252</v>
      </c>
      <c r="C17" s="75">
        <f t="shared" si="9"/>
        <v>0.02663442252</v>
      </c>
      <c r="D17" s="75">
        <f t="shared" si="9"/>
        <v>0.02663442252</v>
      </c>
      <c r="E17" s="75">
        <f t="shared" si="9"/>
        <v>0.02663442252</v>
      </c>
      <c r="F17" s="75">
        <f t="shared" si="9"/>
        <v>0.02663442252</v>
      </c>
    </row>
    <row r="18" ht="15.75" customHeight="1">
      <c r="A18" s="75" t="s">
        <v>364</v>
      </c>
      <c r="B18" s="77" t="s">
        <v>365</v>
      </c>
      <c r="C18" s="77" t="s">
        <v>365</v>
      </c>
      <c r="D18" s="77" t="s">
        <v>365</v>
      </c>
      <c r="E18" s="77" t="s">
        <v>365</v>
      </c>
      <c r="F18" s="77" t="s">
        <v>365</v>
      </c>
    </row>
    <row r="19" ht="15.75" customHeight="1">
      <c r="A19" s="77" t="s">
        <v>349</v>
      </c>
      <c r="B19" s="75">
        <f t="shared" ref="B19:F19" si="10">0.00575*100</f>
        <v>0.575</v>
      </c>
      <c r="C19" s="75">
        <f t="shared" si="10"/>
        <v>0.575</v>
      </c>
      <c r="D19" s="75">
        <f t="shared" si="10"/>
        <v>0.575</v>
      </c>
      <c r="E19" s="75">
        <f t="shared" si="10"/>
        <v>0.575</v>
      </c>
      <c r="F19" s="75">
        <f t="shared" si="10"/>
        <v>0.575</v>
      </c>
    </row>
    <row r="20" ht="15.75" customHeight="1">
      <c r="A20" s="75" t="s">
        <v>366</v>
      </c>
      <c r="B20" s="77" t="s">
        <v>365</v>
      </c>
      <c r="C20" s="77" t="s">
        <v>365</v>
      </c>
      <c r="D20" s="77" t="s">
        <v>365</v>
      </c>
      <c r="E20" s="77" t="s">
        <v>365</v>
      </c>
      <c r="F20" s="77" t="s">
        <v>365</v>
      </c>
    </row>
    <row r="21" ht="15.75" customHeight="1">
      <c r="A21" s="77" t="s">
        <v>349</v>
      </c>
      <c r="B21" s="75">
        <f t="shared" ref="B21:F21" si="11">0.00282*100</f>
        <v>0.282</v>
      </c>
      <c r="C21" s="75">
        <f t="shared" si="11"/>
        <v>0.282</v>
      </c>
      <c r="D21" s="75">
        <f t="shared" si="11"/>
        <v>0.282</v>
      </c>
      <c r="E21" s="75">
        <f t="shared" si="11"/>
        <v>0.282</v>
      </c>
      <c r="F21" s="75">
        <f t="shared" si="11"/>
        <v>0.282</v>
      </c>
    </row>
    <row r="22" ht="15.75" customHeight="1">
      <c r="A22" s="75" t="s">
        <v>367</v>
      </c>
      <c r="B22" s="81" t="s">
        <v>368</v>
      </c>
      <c r="F22" s="82"/>
    </row>
    <row r="23" ht="15.75" customHeight="1">
      <c r="A23" s="77" t="s">
        <v>349</v>
      </c>
      <c r="B23" s="75">
        <f t="shared" ref="B23:F23" si="12">PI()*(0.012^2/4+0.01^2/4)*$I$1</f>
        <v>1.504351642</v>
      </c>
      <c r="C23" s="75">
        <f t="shared" si="12"/>
        <v>1.504351642</v>
      </c>
      <c r="D23" s="75">
        <f t="shared" si="12"/>
        <v>1.504351642</v>
      </c>
      <c r="E23" s="75">
        <f t="shared" si="12"/>
        <v>1.504351642</v>
      </c>
      <c r="F23" s="75">
        <f t="shared" si="12"/>
        <v>1.504351642</v>
      </c>
    </row>
    <row r="24" ht="15.75" customHeight="1">
      <c r="A24" s="75" t="s">
        <v>369</v>
      </c>
      <c r="B24" s="75" t="s">
        <v>370</v>
      </c>
      <c r="C24" s="75" t="s">
        <v>370</v>
      </c>
      <c r="D24" s="75" t="s">
        <v>370</v>
      </c>
      <c r="E24" s="75" t="s">
        <v>371</v>
      </c>
      <c r="F24" s="75" t="s">
        <v>371</v>
      </c>
    </row>
    <row r="25" ht="15.75" customHeight="1">
      <c r="A25" s="77" t="s">
        <v>349</v>
      </c>
      <c r="B25" s="75">
        <f t="shared" ref="B25:D25" si="13">0.0116*10</f>
        <v>0.116</v>
      </c>
      <c r="C25" s="75">
        <f t="shared" si="13"/>
        <v>0.116</v>
      </c>
      <c r="D25" s="75">
        <f t="shared" si="13"/>
        <v>0.116</v>
      </c>
      <c r="E25" s="75">
        <f t="shared" ref="E25:F25" si="14">0.0116*10+3*0.0173</f>
        <v>0.1679</v>
      </c>
      <c r="F25" s="75">
        <f t="shared" si="14"/>
        <v>0.1679</v>
      </c>
    </row>
    <row r="26" ht="15.75" customHeight="1">
      <c r="A26" s="75" t="s">
        <v>372</v>
      </c>
      <c r="B26" s="75" t="s">
        <v>373</v>
      </c>
      <c r="C26" s="75"/>
      <c r="D26" s="75"/>
      <c r="E26" s="75"/>
      <c r="F26" s="75"/>
    </row>
    <row r="27" ht="15.75" customHeight="1">
      <c r="A27" s="77" t="s">
        <v>349</v>
      </c>
      <c r="B27" s="83">
        <f t="shared" ref="B27:F27" si="15">2/100</f>
        <v>0.02</v>
      </c>
      <c r="C27" s="83">
        <f t="shared" si="15"/>
        <v>0.02</v>
      </c>
      <c r="D27" s="83">
        <f t="shared" si="15"/>
        <v>0.02</v>
      </c>
      <c r="E27" s="83">
        <f t="shared" si="15"/>
        <v>0.02</v>
      </c>
      <c r="F27" s="83">
        <f t="shared" si="15"/>
        <v>0.02</v>
      </c>
    </row>
    <row r="28" ht="15.75" customHeight="1">
      <c r="A28" s="84" t="s">
        <v>374</v>
      </c>
      <c r="B28" s="85">
        <f t="shared" ref="B28:F28" si="16">SUM(B15,B17,B19,B21,B23,B25,B27)</f>
        <v>2.666036318</v>
      </c>
      <c r="C28" s="85">
        <f t="shared" si="16"/>
        <v>2.666036318</v>
      </c>
      <c r="D28" s="85">
        <f t="shared" si="16"/>
        <v>2.666036318</v>
      </c>
      <c r="E28" s="85">
        <f t="shared" si="16"/>
        <v>2.717936318</v>
      </c>
      <c r="F28" s="85">
        <f t="shared" si="16"/>
        <v>2.717936318</v>
      </c>
    </row>
    <row r="29" ht="15.75" customHeight="1">
      <c r="B29" s="86"/>
    </row>
    <row r="30" ht="15.75" customHeight="1">
      <c r="A30" s="87"/>
      <c r="B30" s="88" t="s">
        <v>358</v>
      </c>
      <c r="C30" s="89" t="s">
        <v>374</v>
      </c>
    </row>
    <row r="31" ht="15.75" customHeight="1">
      <c r="A31" s="90" t="s">
        <v>340</v>
      </c>
      <c r="B31" s="91">
        <v>2.4803611258567138</v>
      </c>
      <c r="C31" s="92">
        <v>2.666036318113323</v>
      </c>
    </row>
    <row r="32" ht="15.75" customHeight="1">
      <c r="A32" s="90" t="s">
        <v>341</v>
      </c>
      <c r="B32" s="93">
        <v>2.592621125856714</v>
      </c>
      <c r="C32" s="93">
        <v>2.666036318113323</v>
      </c>
    </row>
    <row r="33" ht="15.75" customHeight="1">
      <c r="A33" s="90" t="s">
        <v>342</v>
      </c>
      <c r="B33" s="93">
        <v>2.6616211258567137</v>
      </c>
      <c r="C33" s="93">
        <v>2.666036318113323</v>
      </c>
    </row>
    <row r="34" ht="15.75" customHeight="1">
      <c r="A34" s="90" t="s">
        <v>343</v>
      </c>
      <c r="B34" s="93">
        <v>4.594967228406629</v>
      </c>
      <c r="C34" s="93">
        <v>2.7179363181133227</v>
      </c>
    </row>
    <row r="35" ht="15.75" customHeight="1">
      <c r="A35" s="90" t="s">
        <v>344</v>
      </c>
      <c r="B35" s="94">
        <v>4.798127228406629</v>
      </c>
      <c r="C35" s="94">
        <v>2.7179363181133227</v>
      </c>
    </row>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1">
    <mergeCell ref="B22:F22"/>
  </mergeCells>
  <drawing r:id="rId2"/>
  <legacyDrawing r:id="rId3"/>
</worksheet>
</file>